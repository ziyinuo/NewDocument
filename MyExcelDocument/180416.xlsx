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15" yWindow="105" windowWidth="14805" windowHeight="8010" activeTab="4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</sheets>
  <calcPr calcId="152511"/>
</workbook>
</file>

<file path=xl/calcChain.xml><?xml version="1.0" encoding="utf-8"?>
<calcChain xmlns="http://schemas.openxmlformats.org/spreadsheetml/2006/main">
  <c r="C81" i="1" l="1"/>
  <c r="C75" i="1"/>
  <c r="C89" i="1"/>
  <c r="C88" i="1"/>
  <c r="C52" i="1"/>
  <c r="C45" i="1"/>
  <c r="C39" i="1"/>
  <c r="L16" i="1"/>
  <c r="L15" i="1"/>
  <c r="L14" i="1"/>
  <c r="K8" i="1"/>
  <c r="C53" i="1" l="1"/>
  <c r="C28" i="1"/>
  <c r="C21" i="1"/>
  <c r="C15" i="1"/>
  <c r="C29" i="1" l="1"/>
</calcChain>
</file>

<file path=xl/sharedStrings.xml><?xml version="1.0" encoding="utf-8"?>
<sst xmlns="http://schemas.openxmlformats.org/spreadsheetml/2006/main" count="3250" uniqueCount="175">
  <si>
    <t>1.公式</t>
    <phoneticPr fontId="2" type="noConversion"/>
  </si>
  <si>
    <t>数字</t>
    <phoneticPr fontId="2" type="noConversion"/>
  </si>
  <si>
    <t>文本</t>
    <phoneticPr fontId="2" type="noConversion"/>
  </si>
  <si>
    <t>逻辑值</t>
    <phoneticPr fontId="2" type="noConversion"/>
  </si>
  <si>
    <t>错误</t>
    <phoneticPr fontId="2" type="noConversion"/>
  </si>
  <si>
    <t>实例（右表变右表）</t>
    <phoneticPr fontId="2" type="noConversion"/>
  </si>
  <si>
    <t>日期</t>
  </si>
  <si>
    <t>产品名</t>
  </si>
  <si>
    <t>数量</t>
  </si>
  <si>
    <t>A1</t>
  </si>
  <si>
    <t>2015/7/7小计</t>
  </si>
  <si>
    <t>B3</t>
  </si>
  <si>
    <t>2015/7/8小计</t>
  </si>
  <si>
    <t>C3</t>
  </si>
  <si>
    <t>2015/7/9小计</t>
  </si>
  <si>
    <t>总计</t>
  </si>
  <si>
    <t>A2</t>
  </si>
  <si>
    <t>C4</t>
  </si>
  <si>
    <t>N4</t>
  </si>
  <si>
    <t>W2</t>
  </si>
  <si>
    <t>A3</t>
  </si>
  <si>
    <t>2015/7/9小计</t>
    <phoneticPr fontId="2" type="noConversion"/>
  </si>
  <si>
    <t>2.空值</t>
    <phoneticPr fontId="2" type="noConversion"/>
  </si>
  <si>
    <t>实例（去除小计行）</t>
    <phoneticPr fontId="2" type="noConversion"/>
  </si>
  <si>
    <t>自动求和</t>
    <phoneticPr fontId="2" type="noConversion"/>
  </si>
  <si>
    <t>员工代码</t>
  </si>
  <si>
    <t>姓名</t>
  </si>
  <si>
    <t>部门</t>
  </si>
  <si>
    <t>工资标准</t>
  </si>
  <si>
    <t>上班天数</t>
  </si>
  <si>
    <t>基本工资</t>
  </si>
  <si>
    <t>加班工资</t>
  </si>
  <si>
    <t>销售工资</t>
  </si>
  <si>
    <t>应发金额</t>
  </si>
  <si>
    <t>其他扣款</t>
  </si>
  <si>
    <t>应扣金额</t>
  </si>
  <si>
    <t>实发金额</t>
  </si>
  <si>
    <t>1001</t>
  </si>
  <si>
    <t>沈毅</t>
  </si>
  <si>
    <t>总经理</t>
  </si>
  <si>
    <t>1002</t>
  </si>
  <si>
    <t>莘亦凝</t>
  </si>
  <si>
    <t>行政部</t>
  </si>
  <si>
    <t>1003</t>
  </si>
  <si>
    <t>景懿</t>
  </si>
  <si>
    <t>1004</t>
  </si>
  <si>
    <t>国安</t>
    <phoneticPr fontId="2" type="noConversion"/>
  </si>
  <si>
    <t>1005</t>
  </si>
  <si>
    <t>阮语</t>
  </si>
  <si>
    <t>1006</t>
  </si>
  <si>
    <t>毋山</t>
  </si>
  <si>
    <t>1007</t>
  </si>
  <si>
    <t>奚泽</t>
  </si>
  <si>
    <t>1008</t>
  </si>
  <si>
    <t>巫马雨</t>
  </si>
  <si>
    <t>1009</t>
  </si>
  <si>
    <t>夏烟</t>
  </si>
  <si>
    <t>1010</t>
  </si>
  <si>
    <t>官曼</t>
    <phoneticPr fontId="2" type="noConversion"/>
  </si>
  <si>
    <t>2001</t>
  </si>
  <si>
    <t>霍炎彬</t>
  </si>
  <si>
    <t>销售部</t>
  </si>
  <si>
    <t>2002</t>
  </si>
  <si>
    <t>邹安</t>
  </si>
  <si>
    <t>2003</t>
  </si>
  <si>
    <t>竺旋</t>
  </si>
  <si>
    <t>2004</t>
  </si>
  <si>
    <t>冷枫</t>
  </si>
  <si>
    <t>2005</t>
  </si>
  <si>
    <t>章安</t>
  </si>
  <si>
    <t>2006</t>
  </si>
  <si>
    <t>宋迎</t>
  </si>
  <si>
    <t>2007</t>
  </si>
  <si>
    <t>边凝</t>
  </si>
  <si>
    <t>2008</t>
  </si>
  <si>
    <t>熊正</t>
  </si>
  <si>
    <t>2009</t>
  </si>
  <si>
    <t>朱若云</t>
  </si>
  <si>
    <t>2010</t>
  </si>
  <si>
    <t>匡奇</t>
  </si>
  <si>
    <t>2011</t>
  </si>
  <si>
    <t>终筠</t>
  </si>
  <si>
    <t>2012</t>
  </si>
  <si>
    <t>巢绮菱</t>
  </si>
  <si>
    <t>2013</t>
  </si>
  <si>
    <t>壤驷华</t>
  </si>
  <si>
    <t>2014</t>
  </si>
  <si>
    <t>以旋</t>
    <phoneticPr fontId="2" type="noConversion"/>
  </si>
  <si>
    <t>2015</t>
  </si>
  <si>
    <t>冯鹏翼</t>
  </si>
  <si>
    <t>2016</t>
  </si>
  <si>
    <t>乜凌</t>
  </si>
  <si>
    <t>2017</t>
  </si>
  <si>
    <t>赫连冰</t>
  </si>
  <si>
    <t>2018</t>
  </si>
  <si>
    <t>管柳</t>
  </si>
  <si>
    <t>2019</t>
  </si>
  <si>
    <t>嵇志文</t>
  </si>
  <si>
    <t>2020</t>
  </si>
  <si>
    <t>韦修</t>
  </si>
  <si>
    <t>2021</t>
  </si>
  <si>
    <t>符巧</t>
  </si>
  <si>
    <t>2022</t>
  </si>
  <si>
    <t>宋柏</t>
  </si>
  <si>
    <t>2023</t>
  </si>
  <si>
    <t>西门国</t>
  </si>
  <si>
    <t>2024</t>
  </si>
  <si>
    <t>雷安</t>
  </si>
  <si>
    <t>2025</t>
  </si>
  <si>
    <t>艾南</t>
  </si>
  <si>
    <t>3001</t>
  </si>
  <si>
    <t>滑琴</t>
  </si>
  <si>
    <t>生产部</t>
  </si>
  <si>
    <t>3002</t>
  </si>
  <si>
    <t>堵寒</t>
  </si>
  <si>
    <t>3003</t>
  </si>
  <si>
    <t>法薇</t>
  </si>
  <si>
    <t>3004</t>
  </si>
  <si>
    <t>郝容</t>
  </si>
  <si>
    <t>3005</t>
  </si>
  <si>
    <t>海旻</t>
  </si>
  <si>
    <t>3006</t>
  </si>
  <si>
    <t>满梦</t>
  </si>
  <si>
    <t>3007</t>
  </si>
  <si>
    <t>亢堂</t>
  </si>
  <si>
    <t>3008</t>
  </si>
  <si>
    <t>汪纬</t>
  </si>
  <si>
    <t>3009</t>
  </si>
  <si>
    <t>巫枫</t>
  </si>
  <si>
    <t>3010</t>
  </si>
  <si>
    <t>华荷</t>
  </si>
  <si>
    <t>3011</t>
  </si>
  <si>
    <t>哈迎蓉</t>
  </si>
  <si>
    <t>3012</t>
  </si>
  <si>
    <t>龙航</t>
  </si>
  <si>
    <t>3013</t>
  </si>
  <si>
    <t>韦寒天</t>
  </si>
  <si>
    <t>3014</t>
  </si>
  <si>
    <t>谭瑶</t>
  </si>
  <si>
    <t>3015</t>
  </si>
  <si>
    <t>訾玉</t>
  </si>
  <si>
    <t>3016</t>
  </si>
  <si>
    <t>滕冷</t>
  </si>
  <si>
    <t>3017</t>
  </si>
  <si>
    <t>仲惜筠</t>
  </si>
  <si>
    <t>3018</t>
  </si>
  <si>
    <t>湛宏</t>
  </si>
  <si>
    <t>3019</t>
  </si>
  <si>
    <t>阚秋</t>
  </si>
  <si>
    <t>3020</t>
  </si>
  <si>
    <t>公良资</t>
  </si>
  <si>
    <t>3021</t>
  </si>
  <si>
    <t>宰问寒</t>
  </si>
  <si>
    <t>3022</t>
  </si>
  <si>
    <t>麻梦寒</t>
  </si>
  <si>
    <t>3023</t>
  </si>
  <si>
    <t>端木阳</t>
  </si>
  <si>
    <t>3024</t>
  </si>
  <si>
    <t>侯黎</t>
  </si>
  <si>
    <t>3025</t>
  </si>
  <si>
    <t>李和安</t>
  </si>
  <si>
    <t>3026</t>
  </si>
  <si>
    <t>蔡初夏</t>
  </si>
  <si>
    <t>3027</t>
  </si>
  <si>
    <t>年德水</t>
  </si>
  <si>
    <t>3028</t>
  </si>
  <si>
    <t>安元白</t>
  </si>
  <si>
    <t>3029</t>
  </si>
  <si>
    <t>臧安</t>
  </si>
  <si>
    <t>3030</t>
  </si>
  <si>
    <t>池高</t>
  </si>
  <si>
    <t>闻人国安</t>
  </si>
  <si>
    <t>丌官曼</t>
  </si>
  <si>
    <t>姓氏以旋</t>
  </si>
  <si>
    <t>定位与整行插入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</si>
</sst>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6" x14ac:knownFonts="1">
    <font>
      <sz val="11"/>
      <color theme="1"/>
      <name val="宋体"/>
      <family val="2"/>
      <scheme val="minor"/>
    </font>
    <font>
      <b/>
      <sz val="10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topLeftCell="A31" workbookViewId="0">
      <selection activeCell="J31" sqref="J31:L54"/>
    </sheetView>
  </sheetViews>
  <sheetFormatPr defaultColWidth="9" defaultRowHeight="16.5" x14ac:dyDescent="0.35"/>
  <cols>
    <col min="1" max="1" width="11.875" style="2" customWidth="1"/>
    <col min="2" max="5" width="9" style="2"/>
    <col min="6" max="6" width="12.5" style="2" bestFit="1" customWidth="1"/>
    <col min="7" max="9" width="9" style="2"/>
    <col min="10" max="10" width="12.5" style="2" bestFit="1" customWidth="1"/>
    <col min="11" max="11" width="9" style="2"/>
    <col min="12" max="12" width="12.5" style="2" bestFit="1" customWidth="1"/>
    <col min="13" max="16384" width="9" style="2"/>
  </cols>
  <sheetData>
    <row r="1" spans="1:12" x14ac:dyDescent="0.35">
      <c r="A1" s="1" t="s">
        <v>0</v>
      </c>
    </row>
    <row r="2" spans="1:12" x14ac:dyDescent="0.35">
      <c r="A2" s="3" t="s">
        <v>1</v>
      </c>
    </row>
    <row r="3" spans="1:12" x14ac:dyDescent="0.35">
      <c r="A3" s="3" t="s">
        <v>2</v>
      </c>
    </row>
    <row r="4" spans="1:12" x14ac:dyDescent="0.35">
      <c r="A4" s="3" t="s">
        <v>3</v>
      </c>
    </row>
    <row r="5" spans="1:12" x14ac:dyDescent="0.35">
      <c r="A5" s="3" t="s">
        <v>4</v>
      </c>
    </row>
    <row r="8" spans="1:12" x14ac:dyDescent="0.35">
      <c r="K8" s="2">
        <f>30+15</f>
        <v>45</v>
      </c>
    </row>
    <row r="9" spans="1:12" x14ac:dyDescent="0.35">
      <c r="A9" s="2" t="s">
        <v>5</v>
      </c>
    </row>
    <row r="11" spans="1:12" x14ac:dyDescent="0.35">
      <c r="A11" s="4" t="s">
        <v>6</v>
      </c>
      <c r="B11" s="4" t="s">
        <v>7</v>
      </c>
      <c r="C11" s="4" t="s">
        <v>8</v>
      </c>
      <c r="F11" s="4" t="s">
        <v>6</v>
      </c>
      <c r="G11" s="4" t="s">
        <v>8</v>
      </c>
    </row>
    <row r="12" spans="1:12" x14ac:dyDescent="0.35">
      <c r="A12" s="5">
        <v>42192</v>
      </c>
      <c r="B12" s="4" t="s">
        <v>9</v>
      </c>
      <c r="C12" s="4">
        <v>114</v>
      </c>
      <c r="F12" s="4" t="s">
        <v>10</v>
      </c>
      <c r="G12" s="4">
        <v>356</v>
      </c>
    </row>
    <row r="13" spans="1:12" x14ac:dyDescent="0.35">
      <c r="A13" s="5">
        <v>42192</v>
      </c>
      <c r="B13" s="4" t="s">
        <v>11</v>
      </c>
      <c r="C13" s="4">
        <v>116</v>
      </c>
      <c r="F13" s="4" t="s">
        <v>12</v>
      </c>
      <c r="G13" s="4">
        <v>478</v>
      </c>
    </row>
    <row r="14" spans="1:12" x14ac:dyDescent="0.35">
      <c r="A14" s="5">
        <v>42192</v>
      </c>
      <c r="B14" s="4" t="s">
        <v>13</v>
      </c>
      <c r="C14" s="4">
        <v>126</v>
      </c>
      <c r="F14" s="4" t="s">
        <v>14</v>
      </c>
      <c r="G14" s="4">
        <v>701</v>
      </c>
      <c r="L14" s="2" t="str">
        <f>"ABC"</f>
        <v>ABC</v>
      </c>
    </row>
    <row r="15" spans="1:12" x14ac:dyDescent="0.35">
      <c r="A15" s="5" t="s">
        <v>10</v>
      </c>
      <c r="B15" s="4"/>
      <c r="C15" s="6">
        <f>SUM(C12:C14)</f>
        <v>356</v>
      </c>
      <c r="F15" s="4" t="s">
        <v>15</v>
      </c>
      <c r="G15" s="4">
        <v>1535</v>
      </c>
      <c r="L15" s="2" t="b">
        <f>2=3</f>
        <v>0</v>
      </c>
    </row>
    <row r="16" spans="1:12" x14ac:dyDescent="0.35">
      <c r="A16" s="5">
        <v>42193</v>
      </c>
      <c r="B16" s="4" t="s">
        <v>9</v>
      </c>
      <c r="C16" s="4">
        <v>176</v>
      </c>
      <c r="L16" s="2" t="e">
        <f>“name”</f>
        <v>#NAME?</v>
      </c>
    </row>
    <row r="17" spans="1:13" x14ac:dyDescent="0.35">
      <c r="A17" s="5">
        <v>42193</v>
      </c>
      <c r="B17" s="4" t="s">
        <v>16</v>
      </c>
      <c r="C17" s="4">
        <v>66</v>
      </c>
    </row>
    <row r="18" spans="1:13" x14ac:dyDescent="0.35">
      <c r="A18" s="5">
        <v>42193</v>
      </c>
      <c r="B18" s="4" t="s">
        <v>17</v>
      </c>
      <c r="C18" s="4">
        <v>67</v>
      </c>
    </row>
    <row r="19" spans="1:13" x14ac:dyDescent="0.35">
      <c r="A19" s="5">
        <v>42193</v>
      </c>
      <c r="B19" s="4" t="s">
        <v>18</v>
      </c>
      <c r="C19" s="4">
        <v>96</v>
      </c>
    </row>
    <row r="20" spans="1:13" x14ac:dyDescent="0.35">
      <c r="A20" s="5">
        <v>42193</v>
      </c>
      <c r="B20" s="4" t="s">
        <v>19</v>
      </c>
      <c r="C20" s="4">
        <v>73</v>
      </c>
      <c r="L20" s="4" t="s">
        <v>6</v>
      </c>
    </row>
    <row r="21" spans="1:13" x14ac:dyDescent="0.35">
      <c r="A21" s="5" t="s">
        <v>12</v>
      </c>
      <c r="B21" s="4"/>
      <c r="C21" s="6">
        <f>SUM(C16:C20)</f>
        <v>478</v>
      </c>
      <c r="L21" s="5" t="s">
        <v>10</v>
      </c>
      <c r="M21" s="6">
        <v>356</v>
      </c>
    </row>
    <row r="22" spans="1:13" x14ac:dyDescent="0.35">
      <c r="A22" s="5">
        <v>42194</v>
      </c>
      <c r="B22" s="4" t="s">
        <v>16</v>
      </c>
      <c r="C22" s="4">
        <v>77</v>
      </c>
      <c r="L22" s="5" t="s">
        <v>12</v>
      </c>
      <c r="M22" s="6">
        <v>478</v>
      </c>
    </row>
    <row r="23" spans="1:13" x14ac:dyDescent="0.35">
      <c r="A23" s="5">
        <v>42194</v>
      </c>
      <c r="B23" s="4" t="s">
        <v>11</v>
      </c>
      <c r="C23" s="4">
        <v>141</v>
      </c>
      <c r="L23" s="5" t="s">
        <v>21</v>
      </c>
      <c r="M23" s="6">
        <v>701</v>
      </c>
    </row>
    <row r="24" spans="1:13" x14ac:dyDescent="0.35">
      <c r="A24" s="5">
        <v>42194</v>
      </c>
      <c r="B24" s="4" t="s">
        <v>13</v>
      </c>
      <c r="C24" s="4">
        <v>83</v>
      </c>
      <c r="L24" s="4" t="s">
        <v>15</v>
      </c>
      <c r="M24" s="6">
        <v>1535</v>
      </c>
    </row>
    <row r="25" spans="1:13" x14ac:dyDescent="0.35">
      <c r="A25" s="5">
        <v>42194</v>
      </c>
      <c r="B25" s="4" t="s">
        <v>18</v>
      </c>
      <c r="C25" s="4">
        <v>162</v>
      </c>
    </row>
    <row r="26" spans="1:13" x14ac:dyDescent="0.35">
      <c r="A26" s="5">
        <v>42194</v>
      </c>
      <c r="B26" s="4" t="s">
        <v>20</v>
      </c>
      <c r="C26" s="4">
        <v>118</v>
      </c>
    </row>
    <row r="27" spans="1:13" x14ac:dyDescent="0.35">
      <c r="A27" s="5">
        <v>42194</v>
      </c>
      <c r="B27" s="4" t="s">
        <v>17</v>
      </c>
      <c r="C27" s="4">
        <v>120</v>
      </c>
    </row>
    <row r="28" spans="1:13" x14ac:dyDescent="0.35">
      <c r="A28" s="5" t="s">
        <v>21</v>
      </c>
      <c r="B28" s="4"/>
      <c r="C28" s="6">
        <f>SUM(C22:C27)</f>
        <v>701</v>
      </c>
    </row>
    <row r="29" spans="1:13" x14ac:dyDescent="0.35">
      <c r="A29" s="4" t="s">
        <v>15</v>
      </c>
      <c r="B29" s="4"/>
      <c r="C29" s="6">
        <f>SUM(C12:C28)/2</f>
        <v>1535</v>
      </c>
    </row>
    <row r="33" spans="1:7" x14ac:dyDescent="0.35">
      <c r="A33" s="1" t="s">
        <v>22</v>
      </c>
    </row>
    <row r="34" spans="1:7" x14ac:dyDescent="0.35">
      <c r="A34" s="2" t="s">
        <v>23</v>
      </c>
    </row>
    <row r="35" spans="1:7" x14ac:dyDescent="0.35">
      <c r="A35" s="4" t="s">
        <v>6</v>
      </c>
      <c r="B35" s="4" t="s">
        <v>7</v>
      </c>
      <c r="C35" s="4" t="s">
        <v>8</v>
      </c>
      <c r="E35" s="4" t="s">
        <v>6</v>
      </c>
      <c r="F35" s="4" t="s">
        <v>7</v>
      </c>
      <c r="G35" s="4" t="s">
        <v>8</v>
      </c>
    </row>
    <row r="36" spans="1:7" x14ac:dyDescent="0.35">
      <c r="A36" s="5">
        <v>42192</v>
      </c>
      <c r="B36" s="4" t="s">
        <v>9</v>
      </c>
      <c r="C36" s="4">
        <v>114</v>
      </c>
      <c r="E36" s="5">
        <v>42192</v>
      </c>
      <c r="F36" s="4" t="s">
        <v>9</v>
      </c>
      <c r="G36" s="4">
        <v>114</v>
      </c>
    </row>
    <row r="37" spans="1:7" x14ac:dyDescent="0.35">
      <c r="A37" s="5">
        <v>42192</v>
      </c>
      <c r="B37" s="4" t="s">
        <v>11</v>
      </c>
      <c r="C37" s="4">
        <v>116</v>
      </c>
      <c r="E37" s="5">
        <v>42192</v>
      </c>
      <c r="F37" s="4" t="s">
        <v>11</v>
      </c>
      <c r="G37" s="4">
        <v>116</v>
      </c>
    </row>
    <row r="38" spans="1:7" x14ac:dyDescent="0.35">
      <c r="A38" s="5">
        <v>42192</v>
      </c>
      <c r="B38" s="4" t="s">
        <v>13</v>
      </c>
      <c r="C38" s="4">
        <v>126</v>
      </c>
      <c r="E38" s="5">
        <v>42192</v>
      </c>
      <c r="F38" s="4" t="s">
        <v>13</v>
      </c>
      <c r="G38" s="4">
        <v>126</v>
      </c>
    </row>
    <row r="39" spans="1:7" x14ac:dyDescent="0.35">
      <c r="A39" s="5" t="s">
        <v>10</v>
      </c>
      <c r="B39" s="4"/>
      <c r="C39" s="6">
        <f>SUM(C36:C38)</f>
        <v>356</v>
      </c>
      <c r="E39" s="5">
        <v>42193</v>
      </c>
      <c r="F39" s="4" t="s">
        <v>9</v>
      </c>
      <c r="G39" s="4">
        <v>176</v>
      </c>
    </row>
    <row r="40" spans="1:7" x14ac:dyDescent="0.35">
      <c r="A40" s="5">
        <v>42193</v>
      </c>
      <c r="B40" s="4" t="s">
        <v>9</v>
      </c>
      <c r="C40" s="4">
        <v>176</v>
      </c>
      <c r="E40" s="5">
        <v>42193</v>
      </c>
      <c r="F40" s="4" t="s">
        <v>16</v>
      </c>
      <c r="G40" s="4">
        <v>66</v>
      </c>
    </row>
    <row r="41" spans="1:7" x14ac:dyDescent="0.35">
      <c r="A41" s="5">
        <v>42193</v>
      </c>
      <c r="B41" s="4" t="s">
        <v>16</v>
      </c>
      <c r="C41" s="4">
        <v>66</v>
      </c>
      <c r="E41" s="5">
        <v>42193</v>
      </c>
      <c r="F41" s="4" t="s">
        <v>17</v>
      </c>
      <c r="G41" s="4">
        <v>67</v>
      </c>
    </row>
    <row r="42" spans="1:7" x14ac:dyDescent="0.35">
      <c r="A42" s="5">
        <v>42193</v>
      </c>
      <c r="B42" s="4" t="s">
        <v>17</v>
      </c>
      <c r="C42" s="4">
        <v>67</v>
      </c>
      <c r="E42" s="5">
        <v>42193</v>
      </c>
      <c r="F42" s="4" t="s">
        <v>18</v>
      </c>
      <c r="G42" s="4">
        <v>96</v>
      </c>
    </row>
    <row r="43" spans="1:7" x14ac:dyDescent="0.35">
      <c r="A43" s="5">
        <v>42193</v>
      </c>
      <c r="B43" s="4" t="s">
        <v>18</v>
      </c>
      <c r="C43" s="4">
        <v>96</v>
      </c>
      <c r="E43" s="5">
        <v>42193</v>
      </c>
      <c r="F43" s="4" t="s">
        <v>19</v>
      </c>
      <c r="G43" s="4">
        <v>73</v>
      </c>
    </row>
    <row r="44" spans="1:7" x14ac:dyDescent="0.35">
      <c r="A44" s="5">
        <v>42193</v>
      </c>
      <c r="B44" s="4" t="s">
        <v>19</v>
      </c>
      <c r="C44" s="4">
        <v>73</v>
      </c>
      <c r="E44" s="5">
        <v>42194</v>
      </c>
      <c r="F44" s="4" t="s">
        <v>16</v>
      </c>
      <c r="G44" s="4">
        <v>77</v>
      </c>
    </row>
    <row r="45" spans="1:7" x14ac:dyDescent="0.35">
      <c r="A45" s="5" t="s">
        <v>12</v>
      </c>
      <c r="B45" s="4"/>
      <c r="C45" s="6">
        <f>SUM(C40:C44)</f>
        <v>478</v>
      </c>
      <c r="E45" s="5">
        <v>42194</v>
      </c>
      <c r="F45" s="4" t="s">
        <v>11</v>
      </c>
      <c r="G45" s="4">
        <v>141</v>
      </c>
    </row>
    <row r="46" spans="1:7" x14ac:dyDescent="0.35">
      <c r="A46" s="5">
        <v>42194</v>
      </c>
      <c r="B46" s="4" t="s">
        <v>16</v>
      </c>
      <c r="C46" s="4">
        <v>77</v>
      </c>
      <c r="E46" s="5">
        <v>42194</v>
      </c>
      <c r="F46" s="4" t="s">
        <v>13</v>
      </c>
      <c r="G46" s="4">
        <v>83</v>
      </c>
    </row>
    <row r="47" spans="1:7" x14ac:dyDescent="0.35">
      <c r="A47" s="5">
        <v>42194</v>
      </c>
      <c r="B47" s="4" t="s">
        <v>11</v>
      </c>
      <c r="C47" s="4">
        <v>141</v>
      </c>
      <c r="E47" s="5">
        <v>42194</v>
      </c>
      <c r="F47" s="4" t="s">
        <v>18</v>
      </c>
      <c r="G47" s="4">
        <v>162</v>
      </c>
    </row>
    <row r="48" spans="1:7" x14ac:dyDescent="0.35">
      <c r="A48" s="5">
        <v>42194</v>
      </c>
      <c r="B48" s="4" t="s">
        <v>13</v>
      </c>
      <c r="C48" s="4">
        <v>83</v>
      </c>
      <c r="E48" s="5">
        <v>42194</v>
      </c>
      <c r="F48" s="4" t="s">
        <v>20</v>
      </c>
      <c r="G48" s="4">
        <v>118</v>
      </c>
    </row>
    <row r="49" spans="1:7" x14ac:dyDescent="0.35">
      <c r="A49" s="5">
        <v>42194</v>
      </c>
      <c r="B49" s="4" t="s">
        <v>18</v>
      </c>
      <c r="C49" s="4">
        <v>162</v>
      </c>
      <c r="E49" s="5">
        <v>42194</v>
      </c>
      <c r="F49" s="4" t="s">
        <v>17</v>
      </c>
      <c r="G49" s="4">
        <v>120</v>
      </c>
    </row>
    <row r="50" spans="1:7" x14ac:dyDescent="0.35">
      <c r="A50" s="5">
        <v>42194</v>
      </c>
      <c r="B50" s="4" t="s">
        <v>20</v>
      </c>
      <c r="C50" s="4">
        <v>118</v>
      </c>
    </row>
    <row r="51" spans="1:7" x14ac:dyDescent="0.35">
      <c r="A51" s="5">
        <v>42194</v>
      </c>
      <c r="B51" s="4" t="s">
        <v>17</v>
      </c>
      <c r="C51" s="4">
        <v>120</v>
      </c>
    </row>
    <row r="52" spans="1:7" x14ac:dyDescent="0.35">
      <c r="A52" s="5" t="s">
        <v>21</v>
      </c>
      <c r="B52" s="4"/>
      <c r="C52" s="6">
        <f>SUM(C46:C51)</f>
        <v>701</v>
      </c>
    </row>
    <row r="53" spans="1:7" x14ac:dyDescent="0.35">
      <c r="A53" s="4" t="s">
        <v>15</v>
      </c>
      <c r="B53" s="4"/>
      <c r="C53" s="6">
        <f>SUM(C36:C52)/2</f>
        <v>1535</v>
      </c>
    </row>
    <row r="55" spans="1:7" x14ac:dyDescent="0.35">
      <c r="A55" s="4" t="s">
        <v>6</v>
      </c>
      <c r="B55" s="4" t="s">
        <v>7</v>
      </c>
      <c r="C55" s="4" t="s">
        <v>8</v>
      </c>
    </row>
    <row r="56" spans="1:7" x14ac:dyDescent="0.35">
      <c r="A56" s="5">
        <v>42192</v>
      </c>
      <c r="B56" s="4" t="s">
        <v>9</v>
      </c>
      <c r="C56" s="4">
        <v>114</v>
      </c>
    </row>
    <row r="57" spans="1:7" x14ac:dyDescent="0.35">
      <c r="A57" s="5">
        <v>42192</v>
      </c>
      <c r="B57" s="4" t="s">
        <v>11</v>
      </c>
      <c r="C57" s="4">
        <v>116</v>
      </c>
    </row>
    <row r="58" spans="1:7" x14ac:dyDescent="0.35">
      <c r="A58" s="5">
        <v>42192</v>
      </c>
      <c r="B58" s="4" t="s">
        <v>13</v>
      </c>
      <c r="C58" s="4">
        <v>126</v>
      </c>
    </row>
    <row r="59" spans="1:7" x14ac:dyDescent="0.35">
      <c r="A59" s="5">
        <v>42193</v>
      </c>
      <c r="B59" s="4" t="s">
        <v>9</v>
      </c>
      <c r="C59" s="4">
        <v>176</v>
      </c>
    </row>
    <row r="60" spans="1:7" x14ac:dyDescent="0.35">
      <c r="A60" s="5">
        <v>42193</v>
      </c>
      <c r="B60" s="4" t="s">
        <v>16</v>
      </c>
      <c r="C60" s="4">
        <v>66</v>
      </c>
    </row>
    <row r="61" spans="1:7" x14ac:dyDescent="0.35">
      <c r="A61" s="5">
        <v>42193</v>
      </c>
      <c r="B61" s="4" t="s">
        <v>17</v>
      </c>
      <c r="C61" s="4">
        <v>67</v>
      </c>
    </row>
    <row r="62" spans="1:7" x14ac:dyDescent="0.35">
      <c r="A62" s="5">
        <v>42193</v>
      </c>
      <c r="B62" s="4" t="s">
        <v>18</v>
      </c>
      <c r="C62" s="4">
        <v>96</v>
      </c>
    </row>
    <row r="63" spans="1:7" x14ac:dyDescent="0.35">
      <c r="A63" s="5">
        <v>42193</v>
      </c>
      <c r="B63" s="4" t="s">
        <v>19</v>
      </c>
      <c r="C63" s="4">
        <v>73</v>
      </c>
    </row>
    <row r="64" spans="1:7" x14ac:dyDescent="0.35">
      <c r="A64" s="5">
        <v>42194</v>
      </c>
      <c r="B64" s="4" t="s">
        <v>16</v>
      </c>
      <c r="C64" s="4">
        <v>77</v>
      </c>
    </row>
    <row r="65" spans="1:5" x14ac:dyDescent="0.35">
      <c r="A65" s="5">
        <v>42194</v>
      </c>
      <c r="B65" s="4" t="s">
        <v>11</v>
      </c>
      <c r="C65" s="4">
        <v>141</v>
      </c>
    </row>
    <row r="66" spans="1:5" x14ac:dyDescent="0.35">
      <c r="A66" s="5">
        <v>42194</v>
      </c>
      <c r="B66" s="4" t="s">
        <v>13</v>
      </c>
      <c r="C66" s="4">
        <v>83</v>
      </c>
    </row>
    <row r="67" spans="1:5" x14ac:dyDescent="0.35">
      <c r="A67" s="5">
        <v>42194</v>
      </c>
      <c r="B67" s="4" t="s">
        <v>18</v>
      </c>
      <c r="C67" s="4">
        <v>162</v>
      </c>
    </row>
    <row r="68" spans="1:5" x14ac:dyDescent="0.35">
      <c r="A68" s="5">
        <v>42194</v>
      </c>
      <c r="B68" s="4" t="s">
        <v>20</v>
      </c>
      <c r="C68" s="4">
        <v>118</v>
      </c>
    </row>
    <row r="69" spans="1:5" x14ac:dyDescent="0.35">
      <c r="A69" s="5">
        <v>42194</v>
      </c>
      <c r="B69" s="4" t="s">
        <v>17</v>
      </c>
      <c r="C69" s="4">
        <v>120</v>
      </c>
    </row>
    <row r="71" spans="1:5" x14ac:dyDescent="0.35">
      <c r="A71" s="4" t="s">
        <v>6</v>
      </c>
      <c r="B71" s="4" t="s">
        <v>7</v>
      </c>
      <c r="C71" s="4" t="s">
        <v>8</v>
      </c>
    </row>
    <row r="72" spans="1:5" x14ac:dyDescent="0.35">
      <c r="A72" s="5">
        <v>42192</v>
      </c>
      <c r="B72" s="4" t="s">
        <v>9</v>
      </c>
      <c r="C72" s="4">
        <v>114</v>
      </c>
    </row>
    <row r="73" spans="1:5" x14ac:dyDescent="0.35">
      <c r="A73" s="5">
        <v>42192</v>
      </c>
      <c r="B73" s="4" t="s">
        <v>11</v>
      </c>
      <c r="C73" s="4">
        <v>116</v>
      </c>
    </row>
    <row r="74" spans="1:5" x14ac:dyDescent="0.35">
      <c r="A74" s="5">
        <v>42192</v>
      </c>
      <c r="B74" s="4" t="s">
        <v>13</v>
      </c>
      <c r="C74" s="4">
        <v>126</v>
      </c>
    </row>
    <row r="75" spans="1:5" x14ac:dyDescent="0.35">
      <c r="A75" s="5" t="s">
        <v>10</v>
      </c>
      <c r="B75" s="4"/>
      <c r="C75" s="6">
        <f>SUM(C72:C74)</f>
        <v>356</v>
      </c>
    </row>
    <row r="76" spans="1:5" x14ac:dyDescent="0.35">
      <c r="A76" s="5">
        <v>42193</v>
      </c>
      <c r="B76" s="4" t="s">
        <v>9</v>
      </c>
      <c r="C76" s="4">
        <v>176</v>
      </c>
      <c r="E76" s="2" t="s">
        <v>24</v>
      </c>
    </row>
    <row r="77" spans="1:5" x14ac:dyDescent="0.35">
      <c r="A77" s="5">
        <v>42193</v>
      </c>
      <c r="B77" s="4" t="s">
        <v>16</v>
      </c>
      <c r="C77" s="4">
        <v>66</v>
      </c>
    </row>
    <row r="78" spans="1:5" x14ac:dyDescent="0.35">
      <c r="A78" s="5">
        <v>42193</v>
      </c>
      <c r="B78" s="4" t="s">
        <v>17</v>
      </c>
      <c r="C78" s="4">
        <v>67</v>
      </c>
    </row>
    <row r="79" spans="1:5" x14ac:dyDescent="0.35">
      <c r="A79" s="5">
        <v>42193</v>
      </c>
      <c r="B79" s="4" t="s">
        <v>18</v>
      </c>
      <c r="C79" s="4">
        <v>96</v>
      </c>
    </row>
    <row r="80" spans="1:5" x14ac:dyDescent="0.35">
      <c r="A80" s="5">
        <v>42193</v>
      </c>
      <c r="B80" s="4" t="s">
        <v>19</v>
      </c>
      <c r="C80" s="4">
        <v>73</v>
      </c>
    </row>
    <row r="81" spans="1:3" x14ac:dyDescent="0.35">
      <c r="A81" s="5" t="s">
        <v>12</v>
      </c>
      <c r="B81" s="4"/>
      <c r="C81" s="6">
        <f>SUM(C76:C80)</f>
        <v>478</v>
      </c>
    </row>
    <row r="82" spans="1:3" x14ac:dyDescent="0.35">
      <c r="A82" s="5">
        <v>42194</v>
      </c>
      <c r="B82" s="4" t="s">
        <v>16</v>
      </c>
      <c r="C82" s="4">
        <v>77</v>
      </c>
    </row>
    <row r="83" spans="1:3" x14ac:dyDescent="0.35">
      <c r="A83" s="5">
        <v>42194</v>
      </c>
      <c r="B83" s="4" t="s">
        <v>11</v>
      </c>
      <c r="C83" s="4">
        <v>141</v>
      </c>
    </row>
    <row r="84" spans="1:3" x14ac:dyDescent="0.35">
      <c r="A84" s="5">
        <v>42194</v>
      </c>
      <c r="B84" s="4" t="s">
        <v>13</v>
      </c>
      <c r="C84" s="4">
        <v>83</v>
      </c>
    </row>
    <row r="85" spans="1:3" x14ac:dyDescent="0.35">
      <c r="A85" s="5">
        <v>42194</v>
      </c>
      <c r="B85" s="4" t="s">
        <v>18</v>
      </c>
      <c r="C85" s="4">
        <v>162</v>
      </c>
    </row>
    <row r="86" spans="1:3" x14ac:dyDescent="0.35">
      <c r="A86" s="5">
        <v>42194</v>
      </c>
      <c r="B86" s="4" t="s">
        <v>20</v>
      </c>
      <c r="C86" s="4">
        <v>118</v>
      </c>
    </row>
    <row r="87" spans="1:3" x14ac:dyDescent="0.35">
      <c r="A87" s="5">
        <v>42194</v>
      </c>
      <c r="B87" s="4" t="s">
        <v>17</v>
      </c>
      <c r="C87" s="4">
        <v>120</v>
      </c>
    </row>
    <row r="88" spans="1:3" x14ac:dyDescent="0.35">
      <c r="A88" s="5" t="s">
        <v>21</v>
      </c>
      <c r="B88" s="4"/>
      <c r="C88" s="6">
        <f>SUM(C82:C87)</f>
        <v>701</v>
      </c>
    </row>
    <row r="89" spans="1:3" x14ac:dyDescent="0.35">
      <c r="A89" s="4" t="s">
        <v>15</v>
      </c>
      <c r="B89" s="4"/>
      <c r="C89" s="6">
        <f>SUM(C88,C81,C75)</f>
        <v>1535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"/>
  <sheetViews>
    <sheetView showGridLines="0" workbookViewId="0">
      <selection activeCell="O9" sqref="O9"/>
    </sheetView>
  </sheetViews>
  <sheetFormatPr defaultRowHeight="13.5" x14ac:dyDescent="0.15"/>
  <sheetData>
    <row r="1" spans="1:12" ht="14.25" x14ac:dyDescent="0.1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</row>
    <row r="2" spans="1:12" ht="14.25" x14ac:dyDescent="0.15">
      <c r="A2" s="7" t="s">
        <v>37</v>
      </c>
      <c r="B2" s="7" t="s">
        <v>38</v>
      </c>
      <c r="C2" s="7" t="s">
        <v>39</v>
      </c>
      <c r="D2" s="7">
        <v>3000</v>
      </c>
      <c r="E2" s="7">
        <v>21</v>
      </c>
      <c r="F2" s="7">
        <v>3000</v>
      </c>
      <c r="G2" s="7">
        <v>5</v>
      </c>
      <c r="H2" s="7">
        <v>65</v>
      </c>
      <c r="I2" s="7">
        <v>3070</v>
      </c>
      <c r="J2" s="7">
        <v>130</v>
      </c>
      <c r="K2" s="7">
        <v>277</v>
      </c>
      <c r="L2" s="7">
        <v>2793</v>
      </c>
    </row>
    <row r="3" spans="1:12" ht="9" customHeight="1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4.25" x14ac:dyDescent="0.15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</row>
    <row r="5" spans="1:12" ht="14.25" x14ac:dyDescent="0.15">
      <c r="A5" s="7" t="s">
        <v>40</v>
      </c>
      <c r="B5" s="7" t="s">
        <v>41</v>
      </c>
      <c r="C5" s="7" t="s">
        <v>42</v>
      </c>
      <c r="D5" s="7">
        <v>1200</v>
      </c>
      <c r="E5" s="7">
        <v>21</v>
      </c>
      <c r="F5" s="7">
        <v>1200</v>
      </c>
      <c r="G5" s="7">
        <v>10</v>
      </c>
      <c r="H5" s="7">
        <v>64</v>
      </c>
      <c r="I5" s="7">
        <v>1274</v>
      </c>
      <c r="J5" s="7">
        <v>129</v>
      </c>
      <c r="K5" s="7">
        <v>129</v>
      </c>
      <c r="L5" s="7">
        <v>1145</v>
      </c>
    </row>
    <row r="6" spans="1:12" ht="9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4.25" x14ac:dyDescent="0.15">
      <c r="A7" s="7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7" t="s">
        <v>31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</row>
    <row r="8" spans="1:12" ht="14.25" x14ac:dyDescent="0.15">
      <c r="A8" s="7" t="s">
        <v>43</v>
      </c>
      <c r="B8" s="7" t="s">
        <v>44</v>
      </c>
      <c r="C8" s="7" t="s">
        <v>42</v>
      </c>
      <c r="D8" s="7">
        <v>1200</v>
      </c>
      <c r="E8" s="7">
        <v>21</v>
      </c>
      <c r="F8" s="7">
        <v>1200</v>
      </c>
      <c r="G8" s="7">
        <v>15</v>
      </c>
      <c r="H8" s="7">
        <v>63</v>
      </c>
      <c r="I8" s="7">
        <v>1278</v>
      </c>
      <c r="J8" s="7">
        <v>128</v>
      </c>
      <c r="K8" s="7">
        <v>128</v>
      </c>
      <c r="L8" s="7">
        <v>1150</v>
      </c>
    </row>
    <row r="9" spans="1:12" ht="9" customHeight="1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4.25" x14ac:dyDescent="0.15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 t="s">
        <v>36</v>
      </c>
    </row>
    <row r="11" spans="1:12" ht="14.25" x14ac:dyDescent="0.15">
      <c r="A11" s="7" t="s">
        <v>45</v>
      </c>
      <c r="B11" s="7" t="s">
        <v>46</v>
      </c>
      <c r="C11" s="7" t="s">
        <v>42</v>
      </c>
      <c r="D11" s="7">
        <v>1200</v>
      </c>
      <c r="E11" s="7">
        <v>21</v>
      </c>
      <c r="F11" s="7">
        <v>1200</v>
      </c>
      <c r="G11" s="7">
        <v>20</v>
      </c>
      <c r="H11" s="7">
        <v>62</v>
      </c>
      <c r="I11" s="7">
        <v>1282</v>
      </c>
      <c r="J11" s="7">
        <v>127</v>
      </c>
      <c r="K11" s="7">
        <v>127</v>
      </c>
      <c r="L11" s="7">
        <v>1155</v>
      </c>
    </row>
    <row r="12" spans="1:12" ht="9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4.25" x14ac:dyDescent="0.15">
      <c r="A13" s="7" t="s">
        <v>25</v>
      </c>
      <c r="B13" s="7" t="s">
        <v>26</v>
      </c>
      <c r="C13" s="7" t="s">
        <v>27</v>
      </c>
      <c r="D13" s="7" t="s">
        <v>28</v>
      </c>
      <c r="E13" s="7" t="s">
        <v>29</v>
      </c>
      <c r="F13" s="7" t="s">
        <v>30</v>
      </c>
      <c r="G13" s="7" t="s">
        <v>31</v>
      </c>
      <c r="H13" s="7" t="s">
        <v>32</v>
      </c>
      <c r="I13" s="7" t="s">
        <v>33</v>
      </c>
      <c r="J13" s="7" t="s">
        <v>34</v>
      </c>
      <c r="K13" s="7" t="s">
        <v>35</v>
      </c>
      <c r="L13" s="7" t="s">
        <v>36</v>
      </c>
    </row>
    <row r="14" spans="1:12" ht="14.25" x14ac:dyDescent="0.15">
      <c r="A14" s="7" t="s">
        <v>47</v>
      </c>
      <c r="B14" s="7" t="s">
        <v>48</v>
      </c>
      <c r="C14" s="7" t="s">
        <v>42</v>
      </c>
      <c r="D14" s="7">
        <v>1200</v>
      </c>
      <c r="E14" s="7">
        <v>21</v>
      </c>
      <c r="F14" s="7">
        <v>1200</v>
      </c>
      <c r="G14" s="7">
        <v>25</v>
      </c>
      <c r="H14" s="7">
        <v>61</v>
      </c>
      <c r="I14" s="7">
        <v>1286</v>
      </c>
      <c r="J14" s="7">
        <v>126</v>
      </c>
      <c r="K14" s="7">
        <v>126</v>
      </c>
      <c r="L14" s="7">
        <v>1160</v>
      </c>
    </row>
    <row r="15" spans="1:12" ht="9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4.25" x14ac:dyDescent="0.15">
      <c r="A16" s="7" t="s">
        <v>25</v>
      </c>
      <c r="B16" s="7" t="s">
        <v>26</v>
      </c>
      <c r="C16" s="7" t="s">
        <v>27</v>
      </c>
      <c r="D16" s="7" t="s">
        <v>28</v>
      </c>
      <c r="E16" s="7" t="s">
        <v>29</v>
      </c>
      <c r="F16" s="7" t="s">
        <v>30</v>
      </c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 t="s">
        <v>36</v>
      </c>
    </row>
    <row r="17" spans="1:12" ht="14.25" x14ac:dyDescent="0.15">
      <c r="A17" s="7" t="s">
        <v>49</v>
      </c>
      <c r="B17" s="7" t="s">
        <v>50</v>
      </c>
      <c r="C17" s="7" t="s">
        <v>42</v>
      </c>
      <c r="D17" s="7">
        <v>1200</v>
      </c>
      <c r="E17" s="7">
        <v>21</v>
      </c>
      <c r="F17" s="7">
        <v>1200</v>
      </c>
      <c r="G17" s="7">
        <v>30</v>
      </c>
      <c r="H17" s="7">
        <v>60</v>
      </c>
      <c r="I17" s="7">
        <v>1290</v>
      </c>
      <c r="J17" s="7">
        <v>125</v>
      </c>
      <c r="K17" s="7">
        <v>125</v>
      </c>
      <c r="L17" s="7">
        <v>1165</v>
      </c>
    </row>
    <row r="18" spans="1:12" ht="9" customHeight="1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4.25" x14ac:dyDescent="0.15">
      <c r="A19" s="7" t="s">
        <v>25</v>
      </c>
      <c r="B19" s="7" t="s">
        <v>26</v>
      </c>
      <c r="C19" s="7" t="s">
        <v>27</v>
      </c>
      <c r="D19" s="7" t="s">
        <v>28</v>
      </c>
      <c r="E19" s="7" t="s">
        <v>29</v>
      </c>
      <c r="F19" s="7" t="s">
        <v>30</v>
      </c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 t="s">
        <v>36</v>
      </c>
    </row>
    <row r="20" spans="1:12" ht="14.25" x14ac:dyDescent="0.15">
      <c r="A20" s="7" t="s">
        <v>51</v>
      </c>
      <c r="B20" s="7" t="s">
        <v>52</v>
      </c>
      <c r="C20" s="7" t="s">
        <v>42</v>
      </c>
      <c r="D20" s="7">
        <v>1200</v>
      </c>
      <c r="E20" s="7">
        <v>21</v>
      </c>
      <c r="F20" s="7">
        <v>1200</v>
      </c>
      <c r="G20" s="7">
        <v>35</v>
      </c>
      <c r="H20" s="7">
        <v>59</v>
      </c>
      <c r="I20" s="7">
        <v>1294</v>
      </c>
      <c r="J20" s="7">
        <v>124</v>
      </c>
      <c r="K20" s="7">
        <v>124</v>
      </c>
      <c r="L20" s="7">
        <v>1170</v>
      </c>
    </row>
    <row r="21" spans="1:12" ht="9" customHeight="1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4.25" x14ac:dyDescent="0.15">
      <c r="A22" s="7" t="s">
        <v>25</v>
      </c>
      <c r="B22" s="7" t="s">
        <v>26</v>
      </c>
      <c r="C22" s="7" t="s">
        <v>27</v>
      </c>
      <c r="D22" s="7" t="s">
        <v>28</v>
      </c>
      <c r="E22" s="7" t="s">
        <v>29</v>
      </c>
      <c r="F22" s="7" t="s">
        <v>30</v>
      </c>
      <c r="G22" s="7" t="s">
        <v>31</v>
      </c>
      <c r="H22" s="7" t="s">
        <v>32</v>
      </c>
      <c r="I22" s="7" t="s">
        <v>33</v>
      </c>
      <c r="J22" s="7" t="s">
        <v>34</v>
      </c>
      <c r="K22" s="7" t="s">
        <v>35</v>
      </c>
      <c r="L22" s="7" t="s">
        <v>36</v>
      </c>
    </row>
    <row r="23" spans="1:12" ht="14.25" x14ac:dyDescent="0.15">
      <c r="A23" s="7" t="s">
        <v>53</v>
      </c>
      <c r="B23" s="7" t="s">
        <v>54</v>
      </c>
      <c r="C23" s="7" t="s">
        <v>42</v>
      </c>
      <c r="D23" s="7">
        <v>1200</v>
      </c>
      <c r="E23" s="7">
        <v>21</v>
      </c>
      <c r="F23" s="7">
        <v>1200</v>
      </c>
      <c r="G23" s="7">
        <v>40</v>
      </c>
      <c r="H23" s="7">
        <v>58</v>
      </c>
      <c r="I23" s="7">
        <v>1298</v>
      </c>
      <c r="J23" s="7">
        <v>123</v>
      </c>
      <c r="K23" s="7">
        <v>123</v>
      </c>
      <c r="L23" s="7">
        <v>1175</v>
      </c>
    </row>
    <row r="24" spans="1:12" ht="9" customHeight="1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4.25" x14ac:dyDescent="0.15">
      <c r="A25" s="7" t="s">
        <v>25</v>
      </c>
      <c r="B25" s="7" t="s">
        <v>26</v>
      </c>
      <c r="C25" s="7" t="s">
        <v>27</v>
      </c>
      <c r="D25" s="7" t="s">
        <v>28</v>
      </c>
      <c r="E25" s="7" t="s">
        <v>29</v>
      </c>
      <c r="F25" s="7" t="s">
        <v>30</v>
      </c>
      <c r="G25" s="7" t="s">
        <v>31</v>
      </c>
      <c r="H25" s="7" t="s">
        <v>32</v>
      </c>
      <c r="I25" s="7" t="s">
        <v>33</v>
      </c>
      <c r="J25" s="7" t="s">
        <v>34</v>
      </c>
      <c r="K25" s="7" t="s">
        <v>35</v>
      </c>
      <c r="L25" s="7" t="s">
        <v>36</v>
      </c>
    </row>
    <row r="26" spans="1:12" ht="14.25" x14ac:dyDescent="0.15">
      <c r="A26" s="7" t="s">
        <v>55</v>
      </c>
      <c r="B26" s="7" t="s">
        <v>56</v>
      </c>
      <c r="C26" s="7" t="s">
        <v>42</v>
      </c>
      <c r="D26" s="7">
        <v>1200</v>
      </c>
      <c r="E26" s="7">
        <v>21</v>
      </c>
      <c r="F26" s="7">
        <v>1200</v>
      </c>
      <c r="G26" s="7">
        <v>45</v>
      </c>
      <c r="H26" s="7">
        <v>57</v>
      </c>
      <c r="I26" s="7">
        <v>1302</v>
      </c>
      <c r="J26" s="7">
        <v>122</v>
      </c>
      <c r="K26" s="7">
        <v>122</v>
      </c>
      <c r="L26" s="7">
        <v>1180</v>
      </c>
    </row>
    <row r="27" spans="1:12" ht="9" customHeight="1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4.25" x14ac:dyDescent="0.15">
      <c r="A28" s="7" t="s">
        <v>25</v>
      </c>
      <c r="B28" s="7" t="s">
        <v>26</v>
      </c>
      <c r="C28" s="7" t="s">
        <v>27</v>
      </c>
      <c r="D28" s="7" t="s">
        <v>28</v>
      </c>
      <c r="E28" s="7" t="s">
        <v>29</v>
      </c>
      <c r="F28" s="7" t="s">
        <v>30</v>
      </c>
      <c r="G28" s="7" t="s">
        <v>31</v>
      </c>
      <c r="H28" s="7" t="s">
        <v>32</v>
      </c>
      <c r="I28" s="7" t="s">
        <v>33</v>
      </c>
      <c r="J28" s="7" t="s">
        <v>34</v>
      </c>
      <c r="K28" s="7" t="s">
        <v>35</v>
      </c>
      <c r="L28" s="7" t="s">
        <v>36</v>
      </c>
    </row>
    <row r="29" spans="1:12" ht="14.25" x14ac:dyDescent="0.15">
      <c r="A29" s="7" t="s">
        <v>57</v>
      </c>
      <c r="B29" s="7" t="s">
        <v>58</v>
      </c>
      <c r="C29" s="7" t="s">
        <v>42</v>
      </c>
      <c r="D29" s="7">
        <v>1200</v>
      </c>
      <c r="E29" s="7">
        <v>21</v>
      </c>
      <c r="F29" s="7">
        <v>1200</v>
      </c>
      <c r="G29" s="7">
        <v>50</v>
      </c>
      <c r="H29" s="7">
        <v>56</v>
      </c>
      <c r="I29" s="7">
        <v>1306</v>
      </c>
      <c r="J29" s="7">
        <v>121</v>
      </c>
      <c r="K29" s="7">
        <v>121</v>
      </c>
      <c r="L29" s="7">
        <v>1185</v>
      </c>
    </row>
    <row r="30" spans="1:12" ht="9" customHeight="1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4.25" x14ac:dyDescent="0.15">
      <c r="A31" s="7" t="s">
        <v>25</v>
      </c>
      <c r="B31" s="7" t="s">
        <v>26</v>
      </c>
      <c r="C31" s="7" t="s">
        <v>27</v>
      </c>
      <c r="D31" s="7" t="s">
        <v>28</v>
      </c>
      <c r="E31" s="7" t="s">
        <v>29</v>
      </c>
      <c r="F31" s="7" t="s">
        <v>30</v>
      </c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  <c r="L31" s="7" t="s">
        <v>36</v>
      </c>
    </row>
    <row r="32" spans="1:12" ht="14.25" x14ac:dyDescent="0.15">
      <c r="A32" s="7" t="s">
        <v>59</v>
      </c>
      <c r="B32" s="7" t="s">
        <v>60</v>
      </c>
      <c r="C32" s="7" t="s">
        <v>61</v>
      </c>
      <c r="D32" s="7">
        <v>1500</v>
      </c>
      <c r="E32" s="7">
        <v>21</v>
      </c>
      <c r="F32" s="7">
        <v>1500</v>
      </c>
      <c r="G32" s="7">
        <v>55</v>
      </c>
      <c r="H32" s="7">
        <v>55</v>
      </c>
      <c r="I32" s="7">
        <v>1610</v>
      </c>
      <c r="J32" s="7">
        <v>120</v>
      </c>
      <c r="K32" s="7">
        <v>120.5</v>
      </c>
      <c r="L32" s="7">
        <v>1489.5</v>
      </c>
    </row>
    <row r="33" spans="1:12" ht="9" customHeight="1" x14ac:dyDescent="0.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4.25" x14ac:dyDescent="0.15">
      <c r="A34" s="7" t="s">
        <v>25</v>
      </c>
      <c r="B34" s="7" t="s">
        <v>26</v>
      </c>
      <c r="C34" s="7" t="s">
        <v>27</v>
      </c>
      <c r="D34" s="7" t="s">
        <v>28</v>
      </c>
      <c r="E34" s="7" t="s">
        <v>29</v>
      </c>
      <c r="F34" s="7" t="s">
        <v>30</v>
      </c>
      <c r="G34" s="7" t="s">
        <v>31</v>
      </c>
      <c r="H34" s="7" t="s">
        <v>32</v>
      </c>
      <c r="I34" s="7" t="s">
        <v>33</v>
      </c>
      <c r="J34" s="7" t="s">
        <v>34</v>
      </c>
      <c r="K34" s="7" t="s">
        <v>35</v>
      </c>
      <c r="L34" s="7" t="s">
        <v>36</v>
      </c>
    </row>
    <row r="35" spans="1:12" ht="14.25" x14ac:dyDescent="0.15">
      <c r="A35" s="7" t="s">
        <v>62</v>
      </c>
      <c r="B35" s="7" t="s">
        <v>63</v>
      </c>
      <c r="C35" s="7" t="s">
        <v>61</v>
      </c>
      <c r="D35" s="7">
        <v>1500</v>
      </c>
      <c r="E35" s="7">
        <v>21</v>
      </c>
      <c r="F35" s="7">
        <v>1500</v>
      </c>
      <c r="G35" s="7">
        <v>60</v>
      </c>
      <c r="H35" s="7">
        <v>54</v>
      </c>
      <c r="I35" s="7">
        <v>1614</v>
      </c>
      <c r="J35" s="7">
        <v>119</v>
      </c>
      <c r="K35" s="7">
        <v>119.7</v>
      </c>
      <c r="L35" s="7">
        <v>1494.3</v>
      </c>
    </row>
    <row r="36" spans="1:12" ht="9" customHeight="1" x14ac:dyDescent="0.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14.25" x14ac:dyDescent="0.15">
      <c r="A37" s="7" t="s">
        <v>25</v>
      </c>
      <c r="B37" s="7" t="s">
        <v>26</v>
      </c>
      <c r="C37" s="7" t="s">
        <v>27</v>
      </c>
      <c r="D37" s="7" t="s">
        <v>28</v>
      </c>
      <c r="E37" s="7" t="s">
        <v>29</v>
      </c>
      <c r="F37" s="7" t="s">
        <v>30</v>
      </c>
      <c r="G37" s="7" t="s">
        <v>31</v>
      </c>
      <c r="H37" s="7" t="s">
        <v>32</v>
      </c>
      <c r="I37" s="7" t="s">
        <v>33</v>
      </c>
      <c r="J37" s="7" t="s">
        <v>34</v>
      </c>
      <c r="K37" s="7" t="s">
        <v>35</v>
      </c>
      <c r="L37" s="7" t="s">
        <v>36</v>
      </c>
    </row>
    <row r="38" spans="1:12" ht="14.25" x14ac:dyDescent="0.15">
      <c r="A38" s="7" t="s">
        <v>64</v>
      </c>
      <c r="B38" s="7" t="s">
        <v>65</v>
      </c>
      <c r="C38" s="7" t="s">
        <v>61</v>
      </c>
      <c r="D38" s="7">
        <v>1500</v>
      </c>
      <c r="E38" s="7">
        <v>21</v>
      </c>
      <c r="F38" s="7">
        <v>1500</v>
      </c>
      <c r="G38" s="7">
        <v>65</v>
      </c>
      <c r="H38" s="7">
        <v>53</v>
      </c>
      <c r="I38" s="7">
        <v>1618</v>
      </c>
      <c r="J38" s="7">
        <v>118</v>
      </c>
      <c r="K38" s="7">
        <v>118.9</v>
      </c>
      <c r="L38" s="7">
        <v>1499.1</v>
      </c>
    </row>
    <row r="39" spans="1:12" ht="9" customHeight="1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4.25" x14ac:dyDescent="0.15">
      <c r="A40" s="7" t="s">
        <v>25</v>
      </c>
      <c r="B40" s="7" t="s">
        <v>26</v>
      </c>
      <c r="C40" s="7" t="s">
        <v>27</v>
      </c>
      <c r="D40" s="7" t="s">
        <v>28</v>
      </c>
      <c r="E40" s="7" t="s">
        <v>29</v>
      </c>
      <c r="F40" s="7" t="s">
        <v>30</v>
      </c>
      <c r="G40" s="7" t="s">
        <v>31</v>
      </c>
      <c r="H40" s="7" t="s">
        <v>32</v>
      </c>
      <c r="I40" s="7" t="s">
        <v>33</v>
      </c>
      <c r="J40" s="7" t="s">
        <v>34</v>
      </c>
      <c r="K40" s="7" t="s">
        <v>35</v>
      </c>
      <c r="L40" s="7" t="s">
        <v>36</v>
      </c>
    </row>
    <row r="41" spans="1:12" ht="14.25" x14ac:dyDescent="0.15">
      <c r="A41" s="7" t="s">
        <v>66</v>
      </c>
      <c r="B41" s="7" t="s">
        <v>67</v>
      </c>
      <c r="C41" s="7" t="s">
        <v>61</v>
      </c>
      <c r="D41" s="7">
        <v>1500</v>
      </c>
      <c r="E41" s="7">
        <v>21</v>
      </c>
      <c r="F41" s="7">
        <v>1500</v>
      </c>
      <c r="G41" s="7">
        <v>70</v>
      </c>
      <c r="H41" s="7">
        <v>52</v>
      </c>
      <c r="I41" s="7">
        <v>1622</v>
      </c>
      <c r="J41" s="7">
        <v>117</v>
      </c>
      <c r="K41" s="7">
        <v>118.1</v>
      </c>
      <c r="L41" s="7">
        <v>1503.9</v>
      </c>
    </row>
    <row r="42" spans="1:12" ht="9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14.25" x14ac:dyDescent="0.15">
      <c r="A43" s="7" t="s">
        <v>25</v>
      </c>
      <c r="B43" s="7" t="s">
        <v>26</v>
      </c>
      <c r="C43" s="7" t="s">
        <v>27</v>
      </c>
      <c r="D43" s="7" t="s">
        <v>28</v>
      </c>
      <c r="E43" s="7" t="s">
        <v>29</v>
      </c>
      <c r="F43" s="7" t="s">
        <v>30</v>
      </c>
      <c r="G43" s="7" t="s">
        <v>31</v>
      </c>
      <c r="H43" s="7" t="s">
        <v>32</v>
      </c>
      <c r="I43" s="7" t="s">
        <v>33</v>
      </c>
      <c r="J43" s="7" t="s">
        <v>34</v>
      </c>
      <c r="K43" s="7" t="s">
        <v>35</v>
      </c>
      <c r="L43" s="7" t="s">
        <v>36</v>
      </c>
    </row>
    <row r="44" spans="1:12" ht="14.25" x14ac:dyDescent="0.15">
      <c r="A44" s="7" t="s">
        <v>68</v>
      </c>
      <c r="B44" s="7" t="s">
        <v>69</v>
      </c>
      <c r="C44" s="7" t="s">
        <v>61</v>
      </c>
      <c r="D44" s="7">
        <v>1500</v>
      </c>
      <c r="E44" s="7">
        <v>21</v>
      </c>
      <c r="F44" s="7">
        <v>1500</v>
      </c>
      <c r="G44" s="7">
        <v>75</v>
      </c>
      <c r="H44" s="7">
        <v>51</v>
      </c>
      <c r="I44" s="7">
        <v>1626</v>
      </c>
      <c r="J44" s="7">
        <v>116</v>
      </c>
      <c r="K44" s="7">
        <v>117.3</v>
      </c>
      <c r="L44" s="7">
        <v>1508.7</v>
      </c>
    </row>
    <row r="45" spans="1:12" ht="9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14.25" x14ac:dyDescent="0.15">
      <c r="A46" s="7" t="s">
        <v>25</v>
      </c>
      <c r="B46" s="7" t="s">
        <v>26</v>
      </c>
      <c r="C46" s="7" t="s">
        <v>27</v>
      </c>
      <c r="D46" s="7" t="s">
        <v>28</v>
      </c>
      <c r="E46" s="7" t="s">
        <v>29</v>
      </c>
      <c r="F46" s="7" t="s">
        <v>30</v>
      </c>
      <c r="G46" s="7" t="s">
        <v>31</v>
      </c>
      <c r="H46" s="7" t="s">
        <v>32</v>
      </c>
      <c r="I46" s="7" t="s">
        <v>33</v>
      </c>
      <c r="J46" s="7" t="s">
        <v>34</v>
      </c>
      <c r="K46" s="7" t="s">
        <v>35</v>
      </c>
      <c r="L46" s="7" t="s">
        <v>36</v>
      </c>
    </row>
    <row r="47" spans="1:12" ht="14.25" x14ac:dyDescent="0.15">
      <c r="A47" s="7" t="s">
        <v>70</v>
      </c>
      <c r="B47" s="7" t="s">
        <v>71</v>
      </c>
      <c r="C47" s="7" t="s">
        <v>61</v>
      </c>
      <c r="D47" s="7">
        <v>1500</v>
      </c>
      <c r="E47" s="7">
        <v>21</v>
      </c>
      <c r="F47" s="7">
        <v>1500</v>
      </c>
      <c r="G47" s="7">
        <v>80</v>
      </c>
      <c r="H47" s="7">
        <v>50</v>
      </c>
      <c r="I47" s="7">
        <v>1630</v>
      </c>
      <c r="J47" s="7">
        <v>115</v>
      </c>
      <c r="K47" s="7">
        <v>116.5</v>
      </c>
      <c r="L47" s="7">
        <v>1513.5</v>
      </c>
    </row>
    <row r="48" spans="1:12" ht="9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4.25" x14ac:dyDescent="0.15">
      <c r="A49" s="7" t="s">
        <v>25</v>
      </c>
      <c r="B49" s="7" t="s">
        <v>26</v>
      </c>
      <c r="C49" s="7" t="s">
        <v>27</v>
      </c>
      <c r="D49" s="7" t="s">
        <v>28</v>
      </c>
      <c r="E49" s="7" t="s">
        <v>29</v>
      </c>
      <c r="F49" s="7" t="s">
        <v>30</v>
      </c>
      <c r="G49" s="7" t="s">
        <v>31</v>
      </c>
      <c r="H49" s="7" t="s">
        <v>32</v>
      </c>
      <c r="I49" s="7" t="s">
        <v>33</v>
      </c>
      <c r="J49" s="7" t="s">
        <v>34</v>
      </c>
      <c r="K49" s="7" t="s">
        <v>35</v>
      </c>
      <c r="L49" s="7" t="s">
        <v>36</v>
      </c>
    </row>
    <row r="50" spans="1:12" ht="14.25" x14ac:dyDescent="0.15">
      <c r="A50" s="7" t="s">
        <v>72</v>
      </c>
      <c r="B50" s="7" t="s">
        <v>73</v>
      </c>
      <c r="C50" s="7" t="s">
        <v>61</v>
      </c>
      <c r="D50" s="7">
        <v>1500</v>
      </c>
      <c r="E50" s="7">
        <v>21</v>
      </c>
      <c r="F50" s="7">
        <v>1500</v>
      </c>
      <c r="G50" s="7">
        <v>85</v>
      </c>
      <c r="H50" s="7">
        <v>49</v>
      </c>
      <c r="I50" s="7">
        <v>1634</v>
      </c>
      <c r="J50" s="7">
        <v>114</v>
      </c>
      <c r="K50" s="7">
        <v>115.7</v>
      </c>
      <c r="L50" s="7">
        <v>1518.3</v>
      </c>
    </row>
    <row r="51" spans="1:12" ht="9" customHeight="1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14.25" x14ac:dyDescent="0.15">
      <c r="A52" s="7" t="s">
        <v>25</v>
      </c>
      <c r="B52" s="7" t="s">
        <v>26</v>
      </c>
      <c r="C52" s="7" t="s">
        <v>27</v>
      </c>
      <c r="D52" s="7" t="s">
        <v>28</v>
      </c>
      <c r="E52" s="7" t="s">
        <v>29</v>
      </c>
      <c r="F52" s="7" t="s">
        <v>30</v>
      </c>
      <c r="G52" s="7" t="s">
        <v>31</v>
      </c>
      <c r="H52" s="7" t="s">
        <v>32</v>
      </c>
      <c r="I52" s="7" t="s">
        <v>33</v>
      </c>
      <c r="J52" s="7" t="s">
        <v>34</v>
      </c>
      <c r="K52" s="7" t="s">
        <v>35</v>
      </c>
      <c r="L52" s="7" t="s">
        <v>36</v>
      </c>
    </row>
    <row r="53" spans="1:12" ht="14.25" x14ac:dyDescent="0.15">
      <c r="A53" s="7" t="s">
        <v>74</v>
      </c>
      <c r="B53" s="7" t="s">
        <v>75</v>
      </c>
      <c r="C53" s="7" t="s">
        <v>61</v>
      </c>
      <c r="D53" s="7">
        <v>1500</v>
      </c>
      <c r="E53" s="7">
        <v>21</v>
      </c>
      <c r="F53" s="7">
        <v>1500</v>
      </c>
      <c r="G53" s="7">
        <v>90</v>
      </c>
      <c r="H53" s="7">
        <v>48</v>
      </c>
      <c r="I53" s="7">
        <v>1638</v>
      </c>
      <c r="J53" s="7">
        <v>113</v>
      </c>
      <c r="K53" s="7">
        <v>114.9</v>
      </c>
      <c r="L53" s="7">
        <v>1523.1</v>
      </c>
    </row>
    <row r="54" spans="1:12" ht="9" customHeight="1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4.25" x14ac:dyDescent="0.15">
      <c r="A55" s="7" t="s">
        <v>25</v>
      </c>
      <c r="B55" s="7" t="s">
        <v>26</v>
      </c>
      <c r="C55" s="7" t="s">
        <v>27</v>
      </c>
      <c r="D55" s="7" t="s">
        <v>28</v>
      </c>
      <c r="E55" s="7" t="s">
        <v>29</v>
      </c>
      <c r="F55" s="7" t="s">
        <v>30</v>
      </c>
      <c r="G55" s="7" t="s">
        <v>31</v>
      </c>
      <c r="H55" s="7" t="s">
        <v>32</v>
      </c>
      <c r="I55" s="7" t="s">
        <v>33</v>
      </c>
      <c r="J55" s="7" t="s">
        <v>34</v>
      </c>
      <c r="K55" s="7" t="s">
        <v>35</v>
      </c>
      <c r="L55" s="7" t="s">
        <v>36</v>
      </c>
    </row>
    <row r="56" spans="1:12" ht="14.25" x14ac:dyDescent="0.15">
      <c r="A56" s="7" t="s">
        <v>76</v>
      </c>
      <c r="B56" s="7" t="s">
        <v>77</v>
      </c>
      <c r="C56" s="7" t="s">
        <v>61</v>
      </c>
      <c r="D56" s="7">
        <v>1500</v>
      </c>
      <c r="E56" s="7">
        <v>21</v>
      </c>
      <c r="F56" s="7">
        <v>1500</v>
      </c>
      <c r="G56" s="7">
        <v>95</v>
      </c>
      <c r="H56" s="7">
        <v>47</v>
      </c>
      <c r="I56" s="7">
        <v>1642</v>
      </c>
      <c r="J56" s="7">
        <v>112</v>
      </c>
      <c r="K56" s="7">
        <v>114.1</v>
      </c>
      <c r="L56" s="7">
        <v>1527.9</v>
      </c>
    </row>
    <row r="57" spans="1:12" ht="9" customHeight="1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4.25" x14ac:dyDescent="0.15">
      <c r="A58" s="7" t="s">
        <v>25</v>
      </c>
      <c r="B58" s="7" t="s">
        <v>26</v>
      </c>
      <c r="C58" s="7" t="s">
        <v>27</v>
      </c>
      <c r="D58" s="7" t="s">
        <v>28</v>
      </c>
      <c r="E58" s="7" t="s">
        <v>29</v>
      </c>
      <c r="F58" s="7" t="s">
        <v>30</v>
      </c>
      <c r="G58" s="7" t="s">
        <v>31</v>
      </c>
      <c r="H58" s="7" t="s">
        <v>32</v>
      </c>
      <c r="I58" s="7" t="s">
        <v>33</v>
      </c>
      <c r="J58" s="7" t="s">
        <v>34</v>
      </c>
      <c r="K58" s="7" t="s">
        <v>35</v>
      </c>
      <c r="L58" s="7" t="s">
        <v>36</v>
      </c>
    </row>
    <row r="59" spans="1:12" ht="14.25" x14ac:dyDescent="0.15">
      <c r="A59" s="7" t="s">
        <v>78</v>
      </c>
      <c r="B59" s="7" t="s">
        <v>79</v>
      </c>
      <c r="C59" s="7" t="s">
        <v>61</v>
      </c>
      <c r="D59" s="7">
        <v>1500</v>
      </c>
      <c r="E59" s="7">
        <v>21</v>
      </c>
      <c r="F59" s="7">
        <v>1500</v>
      </c>
      <c r="G59" s="7">
        <v>100</v>
      </c>
      <c r="H59" s="7">
        <v>46</v>
      </c>
      <c r="I59" s="7">
        <v>1646</v>
      </c>
      <c r="J59" s="7">
        <v>111</v>
      </c>
      <c r="K59" s="7">
        <v>113.3</v>
      </c>
      <c r="L59" s="7">
        <v>1532.7</v>
      </c>
    </row>
    <row r="60" spans="1:12" ht="9" customHeight="1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4.25" x14ac:dyDescent="0.15">
      <c r="A61" s="7" t="s">
        <v>25</v>
      </c>
      <c r="B61" s="7" t="s">
        <v>26</v>
      </c>
      <c r="C61" s="7" t="s">
        <v>27</v>
      </c>
      <c r="D61" s="7" t="s">
        <v>28</v>
      </c>
      <c r="E61" s="7" t="s">
        <v>29</v>
      </c>
      <c r="F61" s="7" t="s">
        <v>30</v>
      </c>
      <c r="G61" s="7" t="s">
        <v>31</v>
      </c>
      <c r="H61" s="7" t="s">
        <v>32</v>
      </c>
      <c r="I61" s="7" t="s">
        <v>33</v>
      </c>
      <c r="J61" s="7" t="s">
        <v>34</v>
      </c>
      <c r="K61" s="7" t="s">
        <v>35</v>
      </c>
      <c r="L61" s="7" t="s">
        <v>36</v>
      </c>
    </row>
    <row r="62" spans="1:12" ht="14.25" x14ac:dyDescent="0.15">
      <c r="A62" s="7" t="s">
        <v>80</v>
      </c>
      <c r="B62" s="7" t="s">
        <v>81</v>
      </c>
      <c r="C62" s="7" t="s">
        <v>61</v>
      </c>
      <c r="D62" s="7">
        <v>1500</v>
      </c>
      <c r="E62" s="7">
        <v>21</v>
      </c>
      <c r="F62" s="7">
        <v>1500</v>
      </c>
      <c r="G62" s="7">
        <v>105</v>
      </c>
      <c r="H62" s="7">
        <v>45</v>
      </c>
      <c r="I62" s="7">
        <v>1650</v>
      </c>
      <c r="J62" s="7">
        <v>110</v>
      </c>
      <c r="K62" s="7">
        <v>112.5</v>
      </c>
      <c r="L62" s="7">
        <v>1537.5</v>
      </c>
    </row>
    <row r="63" spans="1:12" ht="9" customHeight="1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ht="14.25" x14ac:dyDescent="0.15">
      <c r="A64" s="7" t="s">
        <v>25</v>
      </c>
      <c r="B64" s="7" t="s">
        <v>26</v>
      </c>
      <c r="C64" s="7" t="s">
        <v>27</v>
      </c>
      <c r="D64" s="7" t="s">
        <v>28</v>
      </c>
      <c r="E64" s="7" t="s">
        <v>29</v>
      </c>
      <c r="F64" s="7" t="s">
        <v>30</v>
      </c>
      <c r="G64" s="7" t="s">
        <v>31</v>
      </c>
      <c r="H64" s="7" t="s">
        <v>32</v>
      </c>
      <c r="I64" s="7" t="s">
        <v>33</v>
      </c>
      <c r="J64" s="7" t="s">
        <v>34</v>
      </c>
      <c r="K64" s="7" t="s">
        <v>35</v>
      </c>
      <c r="L64" s="7" t="s">
        <v>36</v>
      </c>
    </row>
    <row r="65" spans="1:12" ht="14.25" x14ac:dyDescent="0.15">
      <c r="A65" s="7" t="s">
        <v>82</v>
      </c>
      <c r="B65" s="7" t="s">
        <v>83</v>
      </c>
      <c r="C65" s="7" t="s">
        <v>61</v>
      </c>
      <c r="D65" s="7">
        <v>1500</v>
      </c>
      <c r="E65" s="7">
        <v>21</v>
      </c>
      <c r="F65" s="7">
        <v>1500</v>
      </c>
      <c r="G65" s="7">
        <v>110</v>
      </c>
      <c r="H65" s="7">
        <v>44</v>
      </c>
      <c r="I65" s="7">
        <v>1654</v>
      </c>
      <c r="J65" s="7">
        <v>109</v>
      </c>
      <c r="K65" s="7">
        <v>111.7</v>
      </c>
      <c r="L65" s="7">
        <v>1542.3</v>
      </c>
    </row>
    <row r="66" spans="1:12" ht="9" customHeight="1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ht="14.25" x14ac:dyDescent="0.15">
      <c r="A67" s="7" t="s">
        <v>25</v>
      </c>
      <c r="B67" s="7" t="s">
        <v>26</v>
      </c>
      <c r="C67" s="7" t="s">
        <v>27</v>
      </c>
      <c r="D67" s="7" t="s">
        <v>28</v>
      </c>
      <c r="E67" s="7" t="s">
        <v>29</v>
      </c>
      <c r="F67" s="7" t="s">
        <v>30</v>
      </c>
      <c r="G67" s="7" t="s">
        <v>31</v>
      </c>
      <c r="H67" s="7" t="s">
        <v>32</v>
      </c>
      <c r="I67" s="7" t="s">
        <v>33</v>
      </c>
      <c r="J67" s="7" t="s">
        <v>34</v>
      </c>
      <c r="K67" s="7" t="s">
        <v>35</v>
      </c>
      <c r="L67" s="7" t="s">
        <v>36</v>
      </c>
    </row>
    <row r="68" spans="1:12" ht="14.25" x14ac:dyDescent="0.15">
      <c r="A68" s="7" t="s">
        <v>84</v>
      </c>
      <c r="B68" s="7" t="s">
        <v>85</v>
      </c>
      <c r="C68" s="7" t="s">
        <v>61</v>
      </c>
      <c r="D68" s="7">
        <v>1500</v>
      </c>
      <c r="E68" s="7">
        <v>21</v>
      </c>
      <c r="F68" s="7">
        <v>1500</v>
      </c>
      <c r="G68" s="7">
        <v>115</v>
      </c>
      <c r="H68" s="7">
        <v>43</v>
      </c>
      <c r="I68" s="7">
        <v>1658</v>
      </c>
      <c r="J68" s="7">
        <v>108</v>
      </c>
      <c r="K68" s="7">
        <v>110.9</v>
      </c>
      <c r="L68" s="7">
        <v>1547.1</v>
      </c>
    </row>
    <row r="69" spans="1:12" ht="9" customHeight="1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ht="14.25" x14ac:dyDescent="0.15">
      <c r="A70" s="7" t="s">
        <v>25</v>
      </c>
      <c r="B70" s="7" t="s">
        <v>26</v>
      </c>
      <c r="C70" s="7" t="s">
        <v>27</v>
      </c>
      <c r="D70" s="7" t="s">
        <v>28</v>
      </c>
      <c r="E70" s="7" t="s">
        <v>29</v>
      </c>
      <c r="F70" s="7" t="s">
        <v>30</v>
      </c>
      <c r="G70" s="7" t="s">
        <v>31</v>
      </c>
      <c r="H70" s="7" t="s">
        <v>32</v>
      </c>
      <c r="I70" s="7" t="s">
        <v>33</v>
      </c>
      <c r="J70" s="7" t="s">
        <v>34</v>
      </c>
      <c r="K70" s="7" t="s">
        <v>35</v>
      </c>
      <c r="L70" s="7" t="s">
        <v>36</v>
      </c>
    </row>
    <row r="71" spans="1:12" ht="14.25" x14ac:dyDescent="0.15">
      <c r="A71" s="7" t="s">
        <v>86</v>
      </c>
      <c r="B71" s="7" t="s">
        <v>87</v>
      </c>
      <c r="C71" s="7" t="s">
        <v>61</v>
      </c>
      <c r="D71" s="7">
        <v>1500</v>
      </c>
      <c r="E71" s="7">
        <v>21</v>
      </c>
      <c r="F71" s="7">
        <v>1500</v>
      </c>
      <c r="G71" s="7">
        <v>120</v>
      </c>
      <c r="H71" s="7">
        <v>42</v>
      </c>
      <c r="I71" s="7">
        <v>1662</v>
      </c>
      <c r="J71" s="7">
        <v>107</v>
      </c>
      <c r="K71" s="7">
        <v>110.1</v>
      </c>
      <c r="L71" s="7">
        <v>1551.9</v>
      </c>
    </row>
    <row r="72" spans="1:12" ht="9" customHeight="1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ht="14.25" x14ac:dyDescent="0.15">
      <c r="A73" s="7" t="s">
        <v>25</v>
      </c>
      <c r="B73" s="7" t="s">
        <v>26</v>
      </c>
      <c r="C73" s="7" t="s">
        <v>27</v>
      </c>
      <c r="D73" s="7" t="s">
        <v>28</v>
      </c>
      <c r="E73" s="7" t="s">
        <v>29</v>
      </c>
      <c r="F73" s="7" t="s">
        <v>30</v>
      </c>
      <c r="G73" s="7" t="s">
        <v>31</v>
      </c>
      <c r="H73" s="7" t="s">
        <v>32</v>
      </c>
      <c r="I73" s="7" t="s">
        <v>33</v>
      </c>
      <c r="J73" s="7" t="s">
        <v>34</v>
      </c>
      <c r="K73" s="7" t="s">
        <v>35</v>
      </c>
      <c r="L73" s="7" t="s">
        <v>36</v>
      </c>
    </row>
    <row r="74" spans="1:12" ht="14.25" x14ac:dyDescent="0.15">
      <c r="A74" s="7" t="s">
        <v>88</v>
      </c>
      <c r="B74" s="7" t="s">
        <v>89</v>
      </c>
      <c r="C74" s="7" t="s">
        <v>61</v>
      </c>
      <c r="D74" s="7">
        <v>1500</v>
      </c>
      <c r="E74" s="7">
        <v>21</v>
      </c>
      <c r="F74" s="7">
        <v>1500</v>
      </c>
      <c r="G74" s="7">
        <v>125</v>
      </c>
      <c r="H74" s="7">
        <v>41</v>
      </c>
      <c r="I74" s="7">
        <v>1666</v>
      </c>
      <c r="J74" s="7">
        <v>106</v>
      </c>
      <c r="K74" s="7">
        <v>109.3</v>
      </c>
      <c r="L74" s="7">
        <v>1556.7</v>
      </c>
    </row>
    <row r="75" spans="1:12" ht="9" customHeight="1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ht="14.25" x14ac:dyDescent="0.15">
      <c r="A76" s="7" t="s">
        <v>25</v>
      </c>
      <c r="B76" s="7" t="s">
        <v>26</v>
      </c>
      <c r="C76" s="7" t="s">
        <v>27</v>
      </c>
      <c r="D76" s="7" t="s">
        <v>28</v>
      </c>
      <c r="E76" s="7" t="s">
        <v>29</v>
      </c>
      <c r="F76" s="7" t="s">
        <v>30</v>
      </c>
      <c r="G76" s="7" t="s">
        <v>31</v>
      </c>
      <c r="H76" s="7" t="s">
        <v>32</v>
      </c>
      <c r="I76" s="7" t="s">
        <v>33</v>
      </c>
      <c r="J76" s="7" t="s">
        <v>34</v>
      </c>
      <c r="K76" s="7" t="s">
        <v>35</v>
      </c>
      <c r="L76" s="7" t="s">
        <v>36</v>
      </c>
    </row>
    <row r="77" spans="1:12" ht="14.25" x14ac:dyDescent="0.15">
      <c r="A77" s="7" t="s">
        <v>90</v>
      </c>
      <c r="B77" s="7" t="s">
        <v>91</v>
      </c>
      <c r="C77" s="7" t="s">
        <v>61</v>
      </c>
      <c r="D77" s="7">
        <v>1500</v>
      </c>
      <c r="E77" s="7">
        <v>21</v>
      </c>
      <c r="F77" s="7">
        <v>1500</v>
      </c>
      <c r="G77" s="7">
        <v>130</v>
      </c>
      <c r="H77" s="7">
        <v>40</v>
      </c>
      <c r="I77" s="7">
        <v>1670</v>
      </c>
      <c r="J77" s="7">
        <v>105</v>
      </c>
      <c r="K77" s="7">
        <v>108.5</v>
      </c>
      <c r="L77" s="7">
        <v>1561.5</v>
      </c>
    </row>
    <row r="78" spans="1:12" ht="9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ht="14.25" x14ac:dyDescent="0.15">
      <c r="A79" s="7" t="s">
        <v>25</v>
      </c>
      <c r="B79" s="7" t="s">
        <v>26</v>
      </c>
      <c r="C79" s="7" t="s">
        <v>27</v>
      </c>
      <c r="D79" s="7" t="s">
        <v>28</v>
      </c>
      <c r="E79" s="7" t="s">
        <v>29</v>
      </c>
      <c r="F79" s="7" t="s">
        <v>30</v>
      </c>
      <c r="G79" s="7" t="s">
        <v>31</v>
      </c>
      <c r="H79" s="7" t="s">
        <v>32</v>
      </c>
      <c r="I79" s="7" t="s">
        <v>33</v>
      </c>
      <c r="J79" s="7" t="s">
        <v>34</v>
      </c>
      <c r="K79" s="7" t="s">
        <v>35</v>
      </c>
      <c r="L79" s="7" t="s">
        <v>36</v>
      </c>
    </row>
    <row r="80" spans="1:12" ht="14.25" x14ac:dyDescent="0.15">
      <c r="A80" s="7" t="s">
        <v>92</v>
      </c>
      <c r="B80" s="7" t="s">
        <v>93</v>
      </c>
      <c r="C80" s="7" t="s">
        <v>61</v>
      </c>
      <c r="D80" s="7">
        <v>1500</v>
      </c>
      <c r="E80" s="7">
        <v>21</v>
      </c>
      <c r="F80" s="7">
        <v>1500</v>
      </c>
      <c r="G80" s="7">
        <v>135</v>
      </c>
      <c r="H80" s="7">
        <v>39</v>
      </c>
      <c r="I80" s="7">
        <v>1674</v>
      </c>
      <c r="J80" s="7">
        <v>104</v>
      </c>
      <c r="K80" s="7">
        <v>107.7</v>
      </c>
      <c r="L80" s="7">
        <v>1566.3</v>
      </c>
    </row>
    <row r="81" spans="1:12" ht="9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ht="14.25" x14ac:dyDescent="0.15">
      <c r="A82" s="7" t="s">
        <v>25</v>
      </c>
      <c r="B82" s="7" t="s">
        <v>26</v>
      </c>
      <c r="C82" s="7" t="s">
        <v>27</v>
      </c>
      <c r="D82" s="7" t="s">
        <v>28</v>
      </c>
      <c r="E82" s="7" t="s">
        <v>29</v>
      </c>
      <c r="F82" s="7" t="s">
        <v>30</v>
      </c>
      <c r="G82" s="7" t="s">
        <v>31</v>
      </c>
      <c r="H82" s="7" t="s">
        <v>32</v>
      </c>
      <c r="I82" s="7" t="s">
        <v>33</v>
      </c>
      <c r="J82" s="7" t="s">
        <v>34</v>
      </c>
      <c r="K82" s="7" t="s">
        <v>35</v>
      </c>
      <c r="L82" s="7" t="s">
        <v>36</v>
      </c>
    </row>
    <row r="83" spans="1:12" ht="14.25" x14ac:dyDescent="0.15">
      <c r="A83" s="7" t="s">
        <v>94</v>
      </c>
      <c r="B83" s="7" t="s">
        <v>95</v>
      </c>
      <c r="C83" s="7" t="s">
        <v>61</v>
      </c>
      <c r="D83" s="7">
        <v>1500</v>
      </c>
      <c r="E83" s="7">
        <v>21</v>
      </c>
      <c r="F83" s="7">
        <v>1500</v>
      </c>
      <c r="G83" s="7">
        <v>140</v>
      </c>
      <c r="H83" s="7">
        <v>38</v>
      </c>
      <c r="I83" s="7">
        <v>1678</v>
      </c>
      <c r="J83" s="7">
        <v>103</v>
      </c>
      <c r="K83" s="7">
        <v>106.9</v>
      </c>
      <c r="L83" s="7">
        <v>1571.1</v>
      </c>
    </row>
    <row r="84" spans="1:12" ht="9" customHeight="1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ht="14.25" x14ac:dyDescent="0.15">
      <c r="A85" s="7" t="s">
        <v>25</v>
      </c>
      <c r="B85" s="7" t="s">
        <v>26</v>
      </c>
      <c r="C85" s="7" t="s">
        <v>27</v>
      </c>
      <c r="D85" s="7" t="s">
        <v>28</v>
      </c>
      <c r="E85" s="7" t="s">
        <v>29</v>
      </c>
      <c r="F85" s="7" t="s">
        <v>30</v>
      </c>
      <c r="G85" s="7" t="s">
        <v>31</v>
      </c>
      <c r="H85" s="7" t="s">
        <v>32</v>
      </c>
      <c r="I85" s="7" t="s">
        <v>33</v>
      </c>
      <c r="J85" s="7" t="s">
        <v>34</v>
      </c>
      <c r="K85" s="7" t="s">
        <v>35</v>
      </c>
      <c r="L85" s="7" t="s">
        <v>36</v>
      </c>
    </row>
    <row r="86" spans="1:12" ht="14.25" x14ac:dyDescent="0.15">
      <c r="A86" s="7" t="s">
        <v>96</v>
      </c>
      <c r="B86" s="7" t="s">
        <v>97</v>
      </c>
      <c r="C86" s="7" t="s">
        <v>61</v>
      </c>
      <c r="D86" s="7">
        <v>1500</v>
      </c>
      <c r="E86" s="7">
        <v>21</v>
      </c>
      <c r="F86" s="7">
        <v>1500</v>
      </c>
      <c r="G86" s="7">
        <v>145</v>
      </c>
      <c r="H86" s="7">
        <v>37</v>
      </c>
      <c r="I86" s="7">
        <v>1682</v>
      </c>
      <c r="J86" s="7">
        <v>102</v>
      </c>
      <c r="K86" s="7">
        <v>106.1</v>
      </c>
      <c r="L86" s="7">
        <v>1575.9</v>
      </c>
    </row>
    <row r="87" spans="1:12" ht="9" customHeight="1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ht="14.25" x14ac:dyDescent="0.15">
      <c r="A88" s="7" t="s">
        <v>25</v>
      </c>
      <c r="B88" s="7" t="s">
        <v>26</v>
      </c>
      <c r="C88" s="7" t="s">
        <v>27</v>
      </c>
      <c r="D88" s="7" t="s">
        <v>28</v>
      </c>
      <c r="E88" s="7" t="s">
        <v>29</v>
      </c>
      <c r="F88" s="7" t="s">
        <v>30</v>
      </c>
      <c r="G88" s="7" t="s">
        <v>31</v>
      </c>
      <c r="H88" s="7" t="s">
        <v>32</v>
      </c>
      <c r="I88" s="7" t="s">
        <v>33</v>
      </c>
      <c r="J88" s="7" t="s">
        <v>34</v>
      </c>
      <c r="K88" s="7" t="s">
        <v>35</v>
      </c>
      <c r="L88" s="7" t="s">
        <v>36</v>
      </c>
    </row>
    <row r="89" spans="1:12" ht="14.25" x14ac:dyDescent="0.15">
      <c r="A89" s="7" t="s">
        <v>98</v>
      </c>
      <c r="B89" s="7" t="s">
        <v>99</v>
      </c>
      <c r="C89" s="7" t="s">
        <v>61</v>
      </c>
      <c r="D89" s="7">
        <v>1500</v>
      </c>
      <c r="E89" s="7">
        <v>21</v>
      </c>
      <c r="F89" s="7">
        <v>1500</v>
      </c>
      <c r="G89" s="7">
        <v>150</v>
      </c>
      <c r="H89" s="7">
        <v>36</v>
      </c>
      <c r="I89" s="7">
        <v>1686</v>
      </c>
      <c r="J89" s="7">
        <v>101</v>
      </c>
      <c r="K89" s="7">
        <v>105.3</v>
      </c>
      <c r="L89" s="7">
        <v>1580.7</v>
      </c>
    </row>
    <row r="90" spans="1:12" ht="9" customHeight="1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ht="14.25" x14ac:dyDescent="0.15">
      <c r="A91" s="7" t="s">
        <v>25</v>
      </c>
      <c r="B91" s="7" t="s">
        <v>26</v>
      </c>
      <c r="C91" s="7" t="s">
        <v>27</v>
      </c>
      <c r="D91" s="7" t="s">
        <v>28</v>
      </c>
      <c r="E91" s="7" t="s">
        <v>29</v>
      </c>
      <c r="F91" s="7" t="s">
        <v>30</v>
      </c>
      <c r="G91" s="7" t="s">
        <v>31</v>
      </c>
      <c r="H91" s="7" t="s">
        <v>32</v>
      </c>
      <c r="I91" s="7" t="s">
        <v>33</v>
      </c>
      <c r="J91" s="7" t="s">
        <v>34</v>
      </c>
      <c r="K91" s="7" t="s">
        <v>35</v>
      </c>
      <c r="L91" s="7" t="s">
        <v>36</v>
      </c>
    </row>
    <row r="92" spans="1:12" ht="14.25" x14ac:dyDescent="0.15">
      <c r="A92" s="7" t="s">
        <v>100</v>
      </c>
      <c r="B92" s="7" t="s">
        <v>101</v>
      </c>
      <c r="C92" s="7" t="s">
        <v>61</v>
      </c>
      <c r="D92" s="7">
        <v>1500</v>
      </c>
      <c r="E92" s="7">
        <v>21</v>
      </c>
      <c r="F92" s="7">
        <v>1500</v>
      </c>
      <c r="G92" s="7">
        <v>155</v>
      </c>
      <c r="H92" s="7">
        <v>35</v>
      </c>
      <c r="I92" s="7">
        <v>1690</v>
      </c>
      <c r="J92" s="7">
        <v>100</v>
      </c>
      <c r="K92" s="7">
        <v>104.5</v>
      </c>
      <c r="L92" s="7">
        <v>1585.5</v>
      </c>
    </row>
    <row r="93" spans="1:12" ht="9" customHeight="1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ht="14.25" x14ac:dyDescent="0.15">
      <c r="A94" s="7" t="s">
        <v>25</v>
      </c>
      <c r="B94" s="7" t="s">
        <v>26</v>
      </c>
      <c r="C94" s="7" t="s">
        <v>27</v>
      </c>
      <c r="D94" s="7" t="s">
        <v>28</v>
      </c>
      <c r="E94" s="7" t="s">
        <v>29</v>
      </c>
      <c r="F94" s="7" t="s">
        <v>30</v>
      </c>
      <c r="G94" s="7" t="s">
        <v>31</v>
      </c>
      <c r="H94" s="7" t="s">
        <v>32</v>
      </c>
      <c r="I94" s="7" t="s">
        <v>33</v>
      </c>
      <c r="J94" s="7" t="s">
        <v>34</v>
      </c>
      <c r="K94" s="7" t="s">
        <v>35</v>
      </c>
      <c r="L94" s="7" t="s">
        <v>36</v>
      </c>
    </row>
    <row r="95" spans="1:12" ht="14.25" x14ac:dyDescent="0.15">
      <c r="A95" s="7" t="s">
        <v>102</v>
      </c>
      <c r="B95" s="7" t="s">
        <v>103</v>
      </c>
      <c r="C95" s="7" t="s">
        <v>61</v>
      </c>
      <c r="D95" s="7">
        <v>1500</v>
      </c>
      <c r="E95" s="7">
        <v>21</v>
      </c>
      <c r="F95" s="7">
        <v>1500</v>
      </c>
      <c r="G95" s="7">
        <v>160</v>
      </c>
      <c r="H95" s="7">
        <v>34</v>
      </c>
      <c r="I95" s="7">
        <v>1694</v>
      </c>
      <c r="J95" s="7">
        <v>99</v>
      </c>
      <c r="K95" s="7">
        <v>103.7</v>
      </c>
      <c r="L95" s="7">
        <v>1590.3</v>
      </c>
    </row>
    <row r="96" spans="1:12" ht="9" customHeight="1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ht="14.25" x14ac:dyDescent="0.15">
      <c r="A97" s="7" t="s">
        <v>25</v>
      </c>
      <c r="B97" s="7" t="s">
        <v>26</v>
      </c>
      <c r="C97" s="7" t="s">
        <v>27</v>
      </c>
      <c r="D97" s="7" t="s">
        <v>28</v>
      </c>
      <c r="E97" s="7" t="s">
        <v>29</v>
      </c>
      <c r="F97" s="7" t="s">
        <v>30</v>
      </c>
      <c r="G97" s="7" t="s">
        <v>31</v>
      </c>
      <c r="H97" s="7" t="s">
        <v>32</v>
      </c>
      <c r="I97" s="7" t="s">
        <v>33</v>
      </c>
      <c r="J97" s="7" t="s">
        <v>34</v>
      </c>
      <c r="K97" s="7" t="s">
        <v>35</v>
      </c>
      <c r="L97" s="7" t="s">
        <v>36</v>
      </c>
    </row>
    <row r="98" spans="1:12" ht="14.25" x14ac:dyDescent="0.15">
      <c r="A98" s="7" t="s">
        <v>104</v>
      </c>
      <c r="B98" s="7" t="s">
        <v>105</v>
      </c>
      <c r="C98" s="7" t="s">
        <v>61</v>
      </c>
      <c r="D98" s="7">
        <v>1500</v>
      </c>
      <c r="E98" s="7">
        <v>21</v>
      </c>
      <c r="F98" s="7">
        <v>1500</v>
      </c>
      <c r="G98" s="7">
        <v>165</v>
      </c>
      <c r="H98" s="7">
        <v>33</v>
      </c>
      <c r="I98" s="7">
        <v>1698</v>
      </c>
      <c r="J98" s="7">
        <v>98</v>
      </c>
      <c r="K98" s="7">
        <v>102.9</v>
      </c>
      <c r="L98" s="7">
        <v>1595.1</v>
      </c>
    </row>
    <row r="99" spans="1:12" ht="9" customHeight="1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ht="14.25" x14ac:dyDescent="0.15">
      <c r="A100" s="7" t="s">
        <v>25</v>
      </c>
      <c r="B100" s="7" t="s">
        <v>26</v>
      </c>
      <c r="C100" s="7" t="s">
        <v>27</v>
      </c>
      <c r="D100" s="7" t="s">
        <v>28</v>
      </c>
      <c r="E100" s="7" t="s">
        <v>29</v>
      </c>
      <c r="F100" s="7" t="s">
        <v>30</v>
      </c>
      <c r="G100" s="7" t="s">
        <v>31</v>
      </c>
      <c r="H100" s="7" t="s">
        <v>32</v>
      </c>
      <c r="I100" s="7" t="s">
        <v>33</v>
      </c>
      <c r="J100" s="7" t="s">
        <v>34</v>
      </c>
      <c r="K100" s="7" t="s">
        <v>35</v>
      </c>
      <c r="L100" s="7" t="s">
        <v>36</v>
      </c>
    </row>
    <row r="101" spans="1:12" ht="14.25" x14ac:dyDescent="0.15">
      <c r="A101" s="7" t="s">
        <v>106</v>
      </c>
      <c r="B101" s="7" t="s">
        <v>107</v>
      </c>
      <c r="C101" s="7" t="s">
        <v>61</v>
      </c>
      <c r="D101" s="7">
        <v>1500</v>
      </c>
      <c r="E101" s="7">
        <v>21</v>
      </c>
      <c r="F101" s="7">
        <v>1500</v>
      </c>
      <c r="G101" s="7">
        <v>170</v>
      </c>
      <c r="H101" s="7">
        <v>32</v>
      </c>
      <c r="I101" s="7">
        <v>1702</v>
      </c>
      <c r="J101" s="7">
        <v>97</v>
      </c>
      <c r="K101" s="7">
        <v>102.1</v>
      </c>
      <c r="L101" s="7">
        <v>1599.9</v>
      </c>
    </row>
    <row r="102" spans="1:12" ht="9" customHeight="1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4.25" x14ac:dyDescent="0.15">
      <c r="A103" s="7" t="s">
        <v>25</v>
      </c>
      <c r="B103" s="7" t="s">
        <v>26</v>
      </c>
      <c r="C103" s="7" t="s">
        <v>27</v>
      </c>
      <c r="D103" s="7" t="s">
        <v>28</v>
      </c>
      <c r="E103" s="7" t="s">
        <v>29</v>
      </c>
      <c r="F103" s="7" t="s">
        <v>30</v>
      </c>
      <c r="G103" s="7" t="s">
        <v>31</v>
      </c>
      <c r="H103" s="7" t="s">
        <v>32</v>
      </c>
      <c r="I103" s="7" t="s">
        <v>33</v>
      </c>
      <c r="J103" s="7" t="s">
        <v>34</v>
      </c>
      <c r="K103" s="7" t="s">
        <v>35</v>
      </c>
      <c r="L103" s="7" t="s">
        <v>36</v>
      </c>
    </row>
    <row r="104" spans="1:12" ht="14.25" x14ac:dyDescent="0.15">
      <c r="A104" s="7" t="s">
        <v>108</v>
      </c>
      <c r="B104" s="7" t="s">
        <v>109</v>
      </c>
      <c r="C104" s="7" t="s">
        <v>61</v>
      </c>
      <c r="D104" s="7">
        <v>1500</v>
      </c>
      <c r="E104" s="7">
        <v>21</v>
      </c>
      <c r="F104" s="7">
        <v>1500</v>
      </c>
      <c r="G104" s="7">
        <v>175</v>
      </c>
      <c r="H104" s="7">
        <v>31</v>
      </c>
      <c r="I104" s="7">
        <v>1706</v>
      </c>
      <c r="J104" s="7">
        <v>96</v>
      </c>
      <c r="K104" s="7">
        <v>101.3</v>
      </c>
      <c r="L104" s="7">
        <v>1604.7</v>
      </c>
    </row>
    <row r="105" spans="1:12" ht="9" customHeight="1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4.25" x14ac:dyDescent="0.15">
      <c r="A106" s="7" t="s">
        <v>25</v>
      </c>
      <c r="B106" s="7" t="s">
        <v>26</v>
      </c>
      <c r="C106" s="7" t="s">
        <v>27</v>
      </c>
      <c r="D106" s="7" t="s">
        <v>28</v>
      </c>
      <c r="E106" s="7" t="s">
        <v>29</v>
      </c>
      <c r="F106" s="7" t="s">
        <v>30</v>
      </c>
      <c r="G106" s="7" t="s">
        <v>31</v>
      </c>
      <c r="H106" s="7" t="s">
        <v>32</v>
      </c>
      <c r="I106" s="7" t="s">
        <v>33</v>
      </c>
      <c r="J106" s="7" t="s">
        <v>34</v>
      </c>
      <c r="K106" s="7" t="s">
        <v>35</v>
      </c>
      <c r="L106" s="7" t="s">
        <v>36</v>
      </c>
    </row>
    <row r="107" spans="1:12" ht="14.25" x14ac:dyDescent="0.15">
      <c r="A107" s="7" t="s">
        <v>110</v>
      </c>
      <c r="B107" s="7" t="s">
        <v>111</v>
      </c>
      <c r="C107" s="7" t="s">
        <v>112</v>
      </c>
      <c r="D107" s="7">
        <v>800</v>
      </c>
      <c r="E107" s="7">
        <v>21</v>
      </c>
      <c r="F107" s="7">
        <v>800</v>
      </c>
      <c r="G107" s="7">
        <v>180</v>
      </c>
      <c r="H107" s="7">
        <v>30</v>
      </c>
      <c r="I107" s="7">
        <v>1010</v>
      </c>
      <c r="J107" s="7">
        <v>95</v>
      </c>
      <c r="K107" s="7">
        <v>95</v>
      </c>
      <c r="L107" s="7">
        <v>915</v>
      </c>
    </row>
    <row r="108" spans="1:12" ht="9" customHeight="1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4.25" x14ac:dyDescent="0.15">
      <c r="A109" s="7" t="s">
        <v>25</v>
      </c>
      <c r="B109" s="7" t="s">
        <v>26</v>
      </c>
      <c r="C109" s="7" t="s">
        <v>27</v>
      </c>
      <c r="D109" s="7" t="s">
        <v>28</v>
      </c>
      <c r="E109" s="7" t="s">
        <v>29</v>
      </c>
      <c r="F109" s="7" t="s">
        <v>30</v>
      </c>
      <c r="G109" s="7" t="s">
        <v>31</v>
      </c>
      <c r="H109" s="7" t="s">
        <v>32</v>
      </c>
      <c r="I109" s="7" t="s">
        <v>33</v>
      </c>
      <c r="J109" s="7" t="s">
        <v>34</v>
      </c>
      <c r="K109" s="7" t="s">
        <v>35</v>
      </c>
      <c r="L109" s="7" t="s">
        <v>36</v>
      </c>
    </row>
    <row r="110" spans="1:12" ht="14.25" x14ac:dyDescent="0.15">
      <c r="A110" s="7" t="s">
        <v>113</v>
      </c>
      <c r="B110" s="7" t="s">
        <v>114</v>
      </c>
      <c r="C110" s="7" t="s">
        <v>112</v>
      </c>
      <c r="D110" s="7">
        <v>800</v>
      </c>
      <c r="E110" s="7">
        <v>21</v>
      </c>
      <c r="F110" s="7">
        <v>800</v>
      </c>
      <c r="G110" s="7">
        <v>185</v>
      </c>
      <c r="H110" s="7">
        <v>29</v>
      </c>
      <c r="I110" s="7">
        <v>1014</v>
      </c>
      <c r="J110" s="7">
        <v>94</v>
      </c>
      <c r="K110" s="7">
        <v>94</v>
      </c>
      <c r="L110" s="7">
        <v>920</v>
      </c>
    </row>
    <row r="111" spans="1:12" ht="9" customHeight="1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4.25" x14ac:dyDescent="0.15">
      <c r="A112" s="7" t="s">
        <v>25</v>
      </c>
      <c r="B112" s="7" t="s">
        <v>26</v>
      </c>
      <c r="C112" s="7" t="s">
        <v>27</v>
      </c>
      <c r="D112" s="7" t="s">
        <v>28</v>
      </c>
      <c r="E112" s="7" t="s">
        <v>29</v>
      </c>
      <c r="F112" s="7" t="s">
        <v>30</v>
      </c>
      <c r="G112" s="7" t="s">
        <v>31</v>
      </c>
      <c r="H112" s="7" t="s">
        <v>32</v>
      </c>
      <c r="I112" s="7" t="s">
        <v>33</v>
      </c>
      <c r="J112" s="7" t="s">
        <v>34</v>
      </c>
      <c r="K112" s="7" t="s">
        <v>35</v>
      </c>
      <c r="L112" s="7" t="s">
        <v>36</v>
      </c>
    </row>
    <row r="113" spans="1:12" ht="14.25" x14ac:dyDescent="0.15">
      <c r="A113" s="7" t="s">
        <v>115</v>
      </c>
      <c r="B113" s="7" t="s">
        <v>116</v>
      </c>
      <c r="C113" s="7" t="s">
        <v>112</v>
      </c>
      <c r="D113" s="7">
        <v>800</v>
      </c>
      <c r="E113" s="7">
        <v>21</v>
      </c>
      <c r="F113" s="7">
        <v>800</v>
      </c>
      <c r="G113" s="7">
        <v>190</v>
      </c>
      <c r="H113" s="7">
        <v>28</v>
      </c>
      <c r="I113" s="7">
        <v>1018</v>
      </c>
      <c r="J113" s="7">
        <v>93</v>
      </c>
      <c r="K113" s="7">
        <v>93</v>
      </c>
      <c r="L113" s="7">
        <v>925</v>
      </c>
    </row>
    <row r="114" spans="1:12" ht="9" customHeight="1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4.25" x14ac:dyDescent="0.15">
      <c r="A115" s="7" t="s">
        <v>25</v>
      </c>
      <c r="B115" s="7" t="s">
        <v>26</v>
      </c>
      <c r="C115" s="7" t="s">
        <v>27</v>
      </c>
      <c r="D115" s="7" t="s">
        <v>28</v>
      </c>
      <c r="E115" s="7" t="s">
        <v>29</v>
      </c>
      <c r="F115" s="7" t="s">
        <v>30</v>
      </c>
      <c r="G115" s="7" t="s">
        <v>31</v>
      </c>
      <c r="H115" s="7" t="s">
        <v>32</v>
      </c>
      <c r="I115" s="7" t="s">
        <v>33</v>
      </c>
      <c r="J115" s="7" t="s">
        <v>34</v>
      </c>
      <c r="K115" s="7" t="s">
        <v>35</v>
      </c>
      <c r="L115" s="7" t="s">
        <v>36</v>
      </c>
    </row>
    <row r="116" spans="1:12" ht="14.25" x14ac:dyDescent="0.15">
      <c r="A116" s="7" t="s">
        <v>117</v>
      </c>
      <c r="B116" s="7" t="s">
        <v>118</v>
      </c>
      <c r="C116" s="7" t="s">
        <v>112</v>
      </c>
      <c r="D116" s="7">
        <v>800</v>
      </c>
      <c r="E116" s="7">
        <v>21</v>
      </c>
      <c r="F116" s="7">
        <v>800</v>
      </c>
      <c r="G116" s="7">
        <v>195</v>
      </c>
      <c r="H116" s="7">
        <v>27</v>
      </c>
      <c r="I116" s="7">
        <v>1022</v>
      </c>
      <c r="J116" s="7">
        <v>92</v>
      </c>
      <c r="K116" s="7">
        <v>92</v>
      </c>
      <c r="L116" s="7">
        <v>930</v>
      </c>
    </row>
    <row r="117" spans="1:12" ht="9" customHeight="1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4.25" x14ac:dyDescent="0.15">
      <c r="A118" s="7" t="s">
        <v>25</v>
      </c>
      <c r="B118" s="7" t="s">
        <v>26</v>
      </c>
      <c r="C118" s="7" t="s">
        <v>27</v>
      </c>
      <c r="D118" s="7" t="s">
        <v>28</v>
      </c>
      <c r="E118" s="7" t="s">
        <v>29</v>
      </c>
      <c r="F118" s="7" t="s">
        <v>30</v>
      </c>
      <c r="G118" s="7" t="s">
        <v>31</v>
      </c>
      <c r="H118" s="7" t="s">
        <v>32</v>
      </c>
      <c r="I118" s="7" t="s">
        <v>33</v>
      </c>
      <c r="J118" s="7" t="s">
        <v>34</v>
      </c>
      <c r="K118" s="7" t="s">
        <v>35</v>
      </c>
      <c r="L118" s="7" t="s">
        <v>36</v>
      </c>
    </row>
    <row r="119" spans="1:12" ht="14.25" x14ac:dyDescent="0.15">
      <c r="A119" s="7" t="s">
        <v>119</v>
      </c>
      <c r="B119" s="7" t="s">
        <v>120</v>
      </c>
      <c r="C119" s="7" t="s">
        <v>112</v>
      </c>
      <c r="D119" s="7">
        <v>800</v>
      </c>
      <c r="E119" s="7">
        <v>21</v>
      </c>
      <c r="F119" s="7">
        <v>800</v>
      </c>
      <c r="G119" s="7">
        <v>200</v>
      </c>
      <c r="H119" s="7">
        <v>26</v>
      </c>
      <c r="I119" s="7">
        <v>1026</v>
      </c>
      <c r="J119" s="7">
        <v>91</v>
      </c>
      <c r="K119" s="7">
        <v>91</v>
      </c>
      <c r="L119" s="7">
        <v>935</v>
      </c>
    </row>
    <row r="120" spans="1:12" ht="9" customHeight="1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4.25" x14ac:dyDescent="0.15">
      <c r="A121" s="7" t="s">
        <v>25</v>
      </c>
      <c r="B121" s="7" t="s">
        <v>26</v>
      </c>
      <c r="C121" s="7" t="s">
        <v>27</v>
      </c>
      <c r="D121" s="7" t="s">
        <v>28</v>
      </c>
      <c r="E121" s="7" t="s">
        <v>29</v>
      </c>
      <c r="F121" s="7" t="s">
        <v>30</v>
      </c>
      <c r="G121" s="7" t="s">
        <v>31</v>
      </c>
      <c r="H121" s="7" t="s">
        <v>32</v>
      </c>
      <c r="I121" s="7" t="s">
        <v>33</v>
      </c>
      <c r="J121" s="7" t="s">
        <v>34</v>
      </c>
      <c r="K121" s="7" t="s">
        <v>35</v>
      </c>
      <c r="L121" s="7" t="s">
        <v>36</v>
      </c>
    </row>
    <row r="122" spans="1:12" ht="14.25" x14ac:dyDescent="0.15">
      <c r="A122" s="7" t="s">
        <v>121</v>
      </c>
      <c r="B122" s="7" t="s">
        <v>122</v>
      </c>
      <c r="C122" s="7" t="s">
        <v>112</v>
      </c>
      <c r="D122" s="7">
        <v>800</v>
      </c>
      <c r="E122" s="7">
        <v>21</v>
      </c>
      <c r="F122" s="7">
        <v>800</v>
      </c>
      <c r="G122" s="7">
        <v>205</v>
      </c>
      <c r="H122" s="7">
        <v>25</v>
      </c>
      <c r="I122" s="7">
        <v>1030</v>
      </c>
      <c r="J122" s="7">
        <v>90</v>
      </c>
      <c r="K122" s="7">
        <v>90</v>
      </c>
      <c r="L122" s="7">
        <v>940</v>
      </c>
    </row>
    <row r="123" spans="1:12" ht="9" customHeight="1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4.25" x14ac:dyDescent="0.15">
      <c r="A124" s="7" t="s">
        <v>25</v>
      </c>
      <c r="B124" s="7" t="s">
        <v>26</v>
      </c>
      <c r="C124" s="7" t="s">
        <v>27</v>
      </c>
      <c r="D124" s="7" t="s">
        <v>28</v>
      </c>
      <c r="E124" s="7" t="s">
        <v>29</v>
      </c>
      <c r="F124" s="7" t="s">
        <v>30</v>
      </c>
      <c r="G124" s="7" t="s">
        <v>31</v>
      </c>
      <c r="H124" s="7" t="s">
        <v>32</v>
      </c>
      <c r="I124" s="7" t="s">
        <v>33</v>
      </c>
      <c r="J124" s="7" t="s">
        <v>34</v>
      </c>
      <c r="K124" s="7" t="s">
        <v>35</v>
      </c>
      <c r="L124" s="7" t="s">
        <v>36</v>
      </c>
    </row>
    <row r="125" spans="1:12" ht="14.25" x14ac:dyDescent="0.15">
      <c r="A125" s="7" t="s">
        <v>123</v>
      </c>
      <c r="B125" s="7" t="s">
        <v>124</v>
      </c>
      <c r="C125" s="7" t="s">
        <v>112</v>
      </c>
      <c r="D125" s="7">
        <v>800</v>
      </c>
      <c r="E125" s="7">
        <v>21</v>
      </c>
      <c r="F125" s="7">
        <v>800</v>
      </c>
      <c r="G125" s="7">
        <v>210</v>
      </c>
      <c r="H125" s="7">
        <v>24</v>
      </c>
      <c r="I125" s="7">
        <v>1034</v>
      </c>
      <c r="J125" s="7">
        <v>89</v>
      </c>
      <c r="K125" s="7">
        <v>89</v>
      </c>
      <c r="L125" s="7">
        <v>945</v>
      </c>
    </row>
    <row r="126" spans="1:12" ht="9" customHeight="1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4.25" x14ac:dyDescent="0.15">
      <c r="A127" s="7" t="s">
        <v>25</v>
      </c>
      <c r="B127" s="7" t="s">
        <v>26</v>
      </c>
      <c r="C127" s="7" t="s">
        <v>27</v>
      </c>
      <c r="D127" s="7" t="s">
        <v>28</v>
      </c>
      <c r="E127" s="7" t="s">
        <v>29</v>
      </c>
      <c r="F127" s="7" t="s">
        <v>30</v>
      </c>
      <c r="G127" s="7" t="s">
        <v>31</v>
      </c>
      <c r="H127" s="7" t="s">
        <v>32</v>
      </c>
      <c r="I127" s="7" t="s">
        <v>33</v>
      </c>
      <c r="J127" s="7" t="s">
        <v>34</v>
      </c>
      <c r="K127" s="7" t="s">
        <v>35</v>
      </c>
      <c r="L127" s="7" t="s">
        <v>36</v>
      </c>
    </row>
    <row r="128" spans="1:12" ht="14.25" x14ac:dyDescent="0.15">
      <c r="A128" s="7" t="s">
        <v>125</v>
      </c>
      <c r="B128" s="7" t="s">
        <v>126</v>
      </c>
      <c r="C128" s="7" t="s">
        <v>112</v>
      </c>
      <c r="D128" s="7">
        <v>800</v>
      </c>
      <c r="E128" s="7">
        <v>21</v>
      </c>
      <c r="F128" s="7">
        <v>800</v>
      </c>
      <c r="G128" s="7">
        <v>215</v>
      </c>
      <c r="H128" s="7">
        <v>23</v>
      </c>
      <c r="I128" s="7">
        <v>1038</v>
      </c>
      <c r="J128" s="7">
        <v>88</v>
      </c>
      <c r="K128" s="7">
        <v>88</v>
      </c>
      <c r="L128" s="7">
        <v>950</v>
      </c>
    </row>
    <row r="129" spans="1:12" ht="9" customHeight="1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4.25" x14ac:dyDescent="0.15">
      <c r="A130" s="7" t="s">
        <v>25</v>
      </c>
      <c r="B130" s="7" t="s">
        <v>26</v>
      </c>
      <c r="C130" s="7" t="s">
        <v>27</v>
      </c>
      <c r="D130" s="7" t="s">
        <v>28</v>
      </c>
      <c r="E130" s="7" t="s">
        <v>29</v>
      </c>
      <c r="F130" s="7" t="s">
        <v>30</v>
      </c>
      <c r="G130" s="7" t="s">
        <v>31</v>
      </c>
      <c r="H130" s="7" t="s">
        <v>32</v>
      </c>
      <c r="I130" s="7" t="s">
        <v>33</v>
      </c>
      <c r="J130" s="7" t="s">
        <v>34</v>
      </c>
      <c r="K130" s="7" t="s">
        <v>35</v>
      </c>
      <c r="L130" s="7" t="s">
        <v>36</v>
      </c>
    </row>
    <row r="131" spans="1:12" ht="14.25" x14ac:dyDescent="0.15">
      <c r="A131" s="7" t="s">
        <v>127</v>
      </c>
      <c r="B131" s="7" t="s">
        <v>128</v>
      </c>
      <c r="C131" s="7" t="s">
        <v>112</v>
      </c>
      <c r="D131" s="7">
        <v>800</v>
      </c>
      <c r="E131" s="7">
        <v>21</v>
      </c>
      <c r="F131" s="7">
        <v>800</v>
      </c>
      <c r="G131" s="7">
        <v>220</v>
      </c>
      <c r="H131" s="7">
        <v>22</v>
      </c>
      <c r="I131" s="7">
        <v>1042</v>
      </c>
      <c r="J131" s="7">
        <v>87</v>
      </c>
      <c r="K131" s="7">
        <v>87</v>
      </c>
      <c r="L131" s="7">
        <v>955</v>
      </c>
    </row>
    <row r="132" spans="1:12" ht="9" customHeight="1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4.25" x14ac:dyDescent="0.15">
      <c r="A133" s="7" t="s">
        <v>25</v>
      </c>
      <c r="B133" s="7" t="s">
        <v>26</v>
      </c>
      <c r="C133" s="7" t="s">
        <v>27</v>
      </c>
      <c r="D133" s="7" t="s">
        <v>28</v>
      </c>
      <c r="E133" s="7" t="s">
        <v>29</v>
      </c>
      <c r="F133" s="7" t="s">
        <v>30</v>
      </c>
      <c r="G133" s="7" t="s">
        <v>31</v>
      </c>
      <c r="H133" s="7" t="s">
        <v>32</v>
      </c>
      <c r="I133" s="7" t="s">
        <v>33</v>
      </c>
      <c r="J133" s="7" t="s">
        <v>34</v>
      </c>
      <c r="K133" s="7" t="s">
        <v>35</v>
      </c>
      <c r="L133" s="7" t="s">
        <v>36</v>
      </c>
    </row>
    <row r="134" spans="1:12" ht="14.25" x14ac:dyDescent="0.15">
      <c r="A134" s="7" t="s">
        <v>129</v>
      </c>
      <c r="B134" s="7" t="s">
        <v>130</v>
      </c>
      <c r="C134" s="7" t="s">
        <v>112</v>
      </c>
      <c r="D134" s="7">
        <v>800</v>
      </c>
      <c r="E134" s="7">
        <v>21</v>
      </c>
      <c r="F134" s="7">
        <v>800</v>
      </c>
      <c r="G134" s="7">
        <v>225</v>
      </c>
      <c r="H134" s="7">
        <v>21</v>
      </c>
      <c r="I134" s="7">
        <v>1046</v>
      </c>
      <c r="J134" s="7">
        <v>86</v>
      </c>
      <c r="K134" s="7">
        <v>86</v>
      </c>
      <c r="L134" s="7">
        <v>960</v>
      </c>
    </row>
    <row r="135" spans="1:12" ht="9" customHeight="1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4.25" x14ac:dyDescent="0.15">
      <c r="A136" s="7" t="s">
        <v>25</v>
      </c>
      <c r="B136" s="7" t="s">
        <v>26</v>
      </c>
      <c r="C136" s="7" t="s">
        <v>27</v>
      </c>
      <c r="D136" s="7" t="s">
        <v>28</v>
      </c>
      <c r="E136" s="7" t="s">
        <v>29</v>
      </c>
      <c r="F136" s="7" t="s">
        <v>30</v>
      </c>
      <c r="G136" s="7" t="s">
        <v>31</v>
      </c>
      <c r="H136" s="7" t="s">
        <v>32</v>
      </c>
      <c r="I136" s="7" t="s">
        <v>33</v>
      </c>
      <c r="J136" s="7" t="s">
        <v>34</v>
      </c>
      <c r="K136" s="7" t="s">
        <v>35</v>
      </c>
      <c r="L136" s="7" t="s">
        <v>36</v>
      </c>
    </row>
    <row r="137" spans="1:12" ht="14.25" x14ac:dyDescent="0.15">
      <c r="A137" s="7" t="s">
        <v>131</v>
      </c>
      <c r="B137" s="7" t="s">
        <v>132</v>
      </c>
      <c r="C137" s="7" t="s">
        <v>112</v>
      </c>
      <c r="D137" s="7">
        <v>800</v>
      </c>
      <c r="E137" s="7">
        <v>21</v>
      </c>
      <c r="F137" s="7">
        <v>800</v>
      </c>
      <c r="G137" s="7">
        <v>230</v>
      </c>
      <c r="H137" s="7">
        <v>20</v>
      </c>
      <c r="I137" s="7">
        <v>1050</v>
      </c>
      <c r="J137" s="7">
        <v>85</v>
      </c>
      <c r="K137" s="7">
        <v>85</v>
      </c>
      <c r="L137" s="7">
        <v>965</v>
      </c>
    </row>
    <row r="138" spans="1:12" ht="9" customHeight="1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4.25" x14ac:dyDescent="0.15">
      <c r="A139" s="7" t="s">
        <v>25</v>
      </c>
      <c r="B139" s="7" t="s">
        <v>26</v>
      </c>
      <c r="C139" s="7" t="s">
        <v>27</v>
      </c>
      <c r="D139" s="7" t="s">
        <v>28</v>
      </c>
      <c r="E139" s="7" t="s">
        <v>29</v>
      </c>
      <c r="F139" s="7" t="s">
        <v>30</v>
      </c>
      <c r="G139" s="7" t="s">
        <v>31</v>
      </c>
      <c r="H139" s="7" t="s">
        <v>32</v>
      </c>
      <c r="I139" s="7" t="s">
        <v>33</v>
      </c>
      <c r="J139" s="7" t="s">
        <v>34</v>
      </c>
      <c r="K139" s="7" t="s">
        <v>35</v>
      </c>
      <c r="L139" s="7" t="s">
        <v>36</v>
      </c>
    </row>
    <row r="140" spans="1:12" ht="14.25" x14ac:dyDescent="0.15">
      <c r="A140" s="7" t="s">
        <v>133</v>
      </c>
      <c r="B140" s="7" t="s">
        <v>134</v>
      </c>
      <c r="C140" s="7" t="s">
        <v>112</v>
      </c>
      <c r="D140" s="7">
        <v>800</v>
      </c>
      <c r="E140" s="7">
        <v>21</v>
      </c>
      <c r="F140" s="7">
        <v>800</v>
      </c>
      <c r="G140" s="7">
        <v>235</v>
      </c>
      <c r="H140" s="7">
        <v>19</v>
      </c>
      <c r="I140" s="7">
        <v>1054</v>
      </c>
      <c r="J140" s="7">
        <v>84</v>
      </c>
      <c r="K140" s="7">
        <v>84</v>
      </c>
      <c r="L140" s="7">
        <v>970</v>
      </c>
    </row>
    <row r="141" spans="1:12" ht="9" customHeight="1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4.25" x14ac:dyDescent="0.15">
      <c r="A142" s="7" t="s">
        <v>25</v>
      </c>
      <c r="B142" s="7" t="s">
        <v>26</v>
      </c>
      <c r="C142" s="7" t="s">
        <v>27</v>
      </c>
      <c r="D142" s="7" t="s">
        <v>28</v>
      </c>
      <c r="E142" s="7" t="s">
        <v>29</v>
      </c>
      <c r="F142" s="7" t="s">
        <v>30</v>
      </c>
      <c r="G142" s="7" t="s">
        <v>31</v>
      </c>
      <c r="H142" s="7" t="s">
        <v>32</v>
      </c>
      <c r="I142" s="7" t="s">
        <v>33</v>
      </c>
      <c r="J142" s="7" t="s">
        <v>34</v>
      </c>
      <c r="K142" s="7" t="s">
        <v>35</v>
      </c>
      <c r="L142" s="7" t="s">
        <v>36</v>
      </c>
    </row>
    <row r="143" spans="1:12" ht="14.25" x14ac:dyDescent="0.15">
      <c r="A143" s="7" t="s">
        <v>135</v>
      </c>
      <c r="B143" s="7" t="s">
        <v>136</v>
      </c>
      <c r="C143" s="7" t="s">
        <v>112</v>
      </c>
      <c r="D143" s="7">
        <v>800</v>
      </c>
      <c r="E143" s="7">
        <v>21</v>
      </c>
      <c r="F143" s="7">
        <v>800</v>
      </c>
      <c r="G143" s="7">
        <v>240</v>
      </c>
      <c r="H143" s="7">
        <v>18</v>
      </c>
      <c r="I143" s="7">
        <v>1058</v>
      </c>
      <c r="J143" s="7">
        <v>83</v>
      </c>
      <c r="K143" s="7">
        <v>83</v>
      </c>
      <c r="L143" s="7">
        <v>975</v>
      </c>
    </row>
    <row r="144" spans="1:12" ht="9" customHeight="1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4.25" x14ac:dyDescent="0.15">
      <c r="A145" s="7" t="s">
        <v>25</v>
      </c>
      <c r="B145" s="7" t="s">
        <v>26</v>
      </c>
      <c r="C145" s="7" t="s">
        <v>27</v>
      </c>
      <c r="D145" s="7" t="s">
        <v>28</v>
      </c>
      <c r="E145" s="7" t="s">
        <v>29</v>
      </c>
      <c r="F145" s="7" t="s">
        <v>30</v>
      </c>
      <c r="G145" s="7" t="s">
        <v>31</v>
      </c>
      <c r="H145" s="7" t="s">
        <v>32</v>
      </c>
      <c r="I145" s="7" t="s">
        <v>33</v>
      </c>
      <c r="J145" s="7" t="s">
        <v>34</v>
      </c>
      <c r="K145" s="7" t="s">
        <v>35</v>
      </c>
      <c r="L145" s="7" t="s">
        <v>36</v>
      </c>
    </row>
    <row r="146" spans="1:12" ht="14.25" x14ac:dyDescent="0.15">
      <c r="A146" s="7" t="s">
        <v>137</v>
      </c>
      <c r="B146" s="7" t="s">
        <v>138</v>
      </c>
      <c r="C146" s="7" t="s">
        <v>112</v>
      </c>
      <c r="D146" s="7">
        <v>800</v>
      </c>
      <c r="E146" s="7">
        <v>21</v>
      </c>
      <c r="F146" s="7">
        <v>800</v>
      </c>
      <c r="G146" s="7">
        <v>245</v>
      </c>
      <c r="H146" s="7">
        <v>17</v>
      </c>
      <c r="I146" s="7">
        <v>1062</v>
      </c>
      <c r="J146" s="7">
        <v>82</v>
      </c>
      <c r="K146" s="7">
        <v>82</v>
      </c>
      <c r="L146" s="7">
        <v>980</v>
      </c>
    </row>
    <row r="147" spans="1:12" ht="9" customHeight="1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4.25" x14ac:dyDescent="0.15">
      <c r="A148" s="7" t="s">
        <v>25</v>
      </c>
      <c r="B148" s="7" t="s">
        <v>26</v>
      </c>
      <c r="C148" s="7" t="s">
        <v>27</v>
      </c>
      <c r="D148" s="7" t="s">
        <v>28</v>
      </c>
      <c r="E148" s="7" t="s">
        <v>29</v>
      </c>
      <c r="F148" s="7" t="s">
        <v>30</v>
      </c>
      <c r="G148" s="7" t="s">
        <v>31</v>
      </c>
      <c r="H148" s="7" t="s">
        <v>32</v>
      </c>
      <c r="I148" s="7" t="s">
        <v>33</v>
      </c>
      <c r="J148" s="7" t="s">
        <v>34</v>
      </c>
      <c r="K148" s="7" t="s">
        <v>35</v>
      </c>
      <c r="L148" s="7" t="s">
        <v>36</v>
      </c>
    </row>
    <row r="149" spans="1:12" ht="14.25" x14ac:dyDescent="0.15">
      <c r="A149" s="7" t="s">
        <v>139</v>
      </c>
      <c r="B149" s="7" t="s">
        <v>140</v>
      </c>
      <c r="C149" s="7" t="s">
        <v>112</v>
      </c>
      <c r="D149" s="7">
        <v>800</v>
      </c>
      <c r="E149" s="7">
        <v>21</v>
      </c>
      <c r="F149" s="7">
        <v>800</v>
      </c>
      <c r="G149" s="7">
        <v>250</v>
      </c>
      <c r="H149" s="7">
        <v>16</v>
      </c>
      <c r="I149" s="7">
        <v>1066</v>
      </c>
      <c r="J149" s="7">
        <v>81</v>
      </c>
      <c r="K149" s="7">
        <v>81</v>
      </c>
      <c r="L149" s="7">
        <v>985</v>
      </c>
    </row>
    <row r="150" spans="1:12" ht="9" customHeight="1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4.25" x14ac:dyDescent="0.15">
      <c r="A151" s="7" t="s">
        <v>25</v>
      </c>
      <c r="B151" s="7" t="s">
        <v>26</v>
      </c>
      <c r="C151" s="7" t="s">
        <v>27</v>
      </c>
      <c r="D151" s="7" t="s">
        <v>28</v>
      </c>
      <c r="E151" s="7" t="s">
        <v>29</v>
      </c>
      <c r="F151" s="7" t="s">
        <v>30</v>
      </c>
      <c r="G151" s="7" t="s">
        <v>31</v>
      </c>
      <c r="H151" s="7" t="s">
        <v>32</v>
      </c>
      <c r="I151" s="7" t="s">
        <v>33</v>
      </c>
      <c r="J151" s="7" t="s">
        <v>34</v>
      </c>
      <c r="K151" s="7" t="s">
        <v>35</v>
      </c>
      <c r="L151" s="7" t="s">
        <v>36</v>
      </c>
    </row>
    <row r="152" spans="1:12" ht="14.25" x14ac:dyDescent="0.15">
      <c r="A152" s="7" t="s">
        <v>141</v>
      </c>
      <c r="B152" s="7" t="s">
        <v>142</v>
      </c>
      <c r="C152" s="7" t="s">
        <v>112</v>
      </c>
      <c r="D152" s="7">
        <v>800</v>
      </c>
      <c r="E152" s="7">
        <v>21</v>
      </c>
      <c r="F152" s="7">
        <v>800</v>
      </c>
      <c r="G152" s="7">
        <v>255</v>
      </c>
      <c r="H152" s="7">
        <v>15</v>
      </c>
      <c r="I152" s="7">
        <v>1070</v>
      </c>
      <c r="J152" s="7">
        <v>80</v>
      </c>
      <c r="K152" s="7">
        <v>80</v>
      </c>
      <c r="L152" s="7">
        <v>990</v>
      </c>
    </row>
    <row r="153" spans="1:12" ht="9" customHeight="1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4.25" x14ac:dyDescent="0.15">
      <c r="A154" s="7" t="s">
        <v>25</v>
      </c>
      <c r="B154" s="7" t="s">
        <v>26</v>
      </c>
      <c r="C154" s="7" t="s">
        <v>27</v>
      </c>
      <c r="D154" s="7" t="s">
        <v>28</v>
      </c>
      <c r="E154" s="7" t="s">
        <v>29</v>
      </c>
      <c r="F154" s="7" t="s">
        <v>30</v>
      </c>
      <c r="G154" s="7" t="s">
        <v>31</v>
      </c>
      <c r="H154" s="7" t="s">
        <v>32</v>
      </c>
      <c r="I154" s="7" t="s">
        <v>33</v>
      </c>
      <c r="J154" s="7" t="s">
        <v>34</v>
      </c>
      <c r="K154" s="7" t="s">
        <v>35</v>
      </c>
      <c r="L154" s="7" t="s">
        <v>36</v>
      </c>
    </row>
    <row r="155" spans="1:12" ht="14.25" x14ac:dyDescent="0.15">
      <c r="A155" s="7" t="s">
        <v>143</v>
      </c>
      <c r="B155" s="7" t="s">
        <v>144</v>
      </c>
      <c r="C155" s="7" t="s">
        <v>112</v>
      </c>
      <c r="D155" s="7">
        <v>800</v>
      </c>
      <c r="E155" s="7">
        <v>21</v>
      </c>
      <c r="F155" s="7">
        <v>800</v>
      </c>
      <c r="G155" s="7">
        <v>260</v>
      </c>
      <c r="H155" s="7">
        <v>14</v>
      </c>
      <c r="I155" s="7">
        <v>1074</v>
      </c>
      <c r="J155" s="7">
        <v>79</v>
      </c>
      <c r="K155" s="7">
        <v>79</v>
      </c>
      <c r="L155" s="7">
        <v>995</v>
      </c>
    </row>
    <row r="156" spans="1:12" ht="9" customHeight="1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4.25" x14ac:dyDescent="0.15">
      <c r="A157" s="7" t="s">
        <v>25</v>
      </c>
      <c r="B157" s="7" t="s">
        <v>26</v>
      </c>
      <c r="C157" s="7" t="s">
        <v>27</v>
      </c>
      <c r="D157" s="7" t="s">
        <v>28</v>
      </c>
      <c r="E157" s="7" t="s">
        <v>29</v>
      </c>
      <c r="F157" s="7" t="s">
        <v>30</v>
      </c>
      <c r="G157" s="7" t="s">
        <v>31</v>
      </c>
      <c r="H157" s="7" t="s">
        <v>32</v>
      </c>
      <c r="I157" s="7" t="s">
        <v>33</v>
      </c>
      <c r="J157" s="7" t="s">
        <v>34</v>
      </c>
      <c r="K157" s="7" t="s">
        <v>35</v>
      </c>
      <c r="L157" s="7" t="s">
        <v>36</v>
      </c>
    </row>
    <row r="158" spans="1:12" ht="14.25" x14ac:dyDescent="0.15">
      <c r="A158" s="7" t="s">
        <v>145</v>
      </c>
      <c r="B158" s="7" t="s">
        <v>146</v>
      </c>
      <c r="C158" s="7" t="s">
        <v>112</v>
      </c>
      <c r="D158" s="7">
        <v>800</v>
      </c>
      <c r="E158" s="7">
        <v>21</v>
      </c>
      <c r="F158" s="7">
        <v>800</v>
      </c>
      <c r="G158" s="7">
        <v>265</v>
      </c>
      <c r="H158" s="7">
        <v>13</v>
      </c>
      <c r="I158" s="7">
        <v>1078</v>
      </c>
      <c r="J158" s="7">
        <v>78</v>
      </c>
      <c r="K158" s="7">
        <v>78</v>
      </c>
      <c r="L158" s="7">
        <v>1000</v>
      </c>
    </row>
    <row r="159" spans="1:12" ht="9" customHeight="1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4.25" x14ac:dyDescent="0.15">
      <c r="A160" s="7" t="s">
        <v>25</v>
      </c>
      <c r="B160" s="7" t="s">
        <v>26</v>
      </c>
      <c r="C160" s="7" t="s">
        <v>27</v>
      </c>
      <c r="D160" s="7" t="s">
        <v>28</v>
      </c>
      <c r="E160" s="7" t="s">
        <v>29</v>
      </c>
      <c r="F160" s="7" t="s">
        <v>30</v>
      </c>
      <c r="G160" s="7" t="s">
        <v>31</v>
      </c>
      <c r="H160" s="7" t="s">
        <v>32</v>
      </c>
      <c r="I160" s="7" t="s">
        <v>33</v>
      </c>
      <c r="J160" s="7" t="s">
        <v>34</v>
      </c>
      <c r="K160" s="7" t="s">
        <v>35</v>
      </c>
      <c r="L160" s="7" t="s">
        <v>36</v>
      </c>
    </row>
    <row r="161" spans="1:12" ht="14.25" x14ac:dyDescent="0.15">
      <c r="A161" s="7" t="s">
        <v>147</v>
      </c>
      <c r="B161" s="7" t="s">
        <v>148</v>
      </c>
      <c r="C161" s="7" t="s">
        <v>112</v>
      </c>
      <c r="D161" s="7">
        <v>800</v>
      </c>
      <c r="E161" s="7">
        <v>21</v>
      </c>
      <c r="F161" s="7">
        <v>800</v>
      </c>
      <c r="G161" s="7">
        <v>270</v>
      </c>
      <c r="H161" s="7">
        <v>12</v>
      </c>
      <c r="I161" s="7">
        <v>1082</v>
      </c>
      <c r="J161" s="7">
        <v>77</v>
      </c>
      <c r="K161" s="7">
        <v>77</v>
      </c>
      <c r="L161" s="7">
        <v>1005</v>
      </c>
    </row>
    <row r="162" spans="1:12" ht="9" customHeight="1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4.25" x14ac:dyDescent="0.15">
      <c r="A163" s="7" t="s">
        <v>25</v>
      </c>
      <c r="B163" s="7" t="s">
        <v>26</v>
      </c>
      <c r="C163" s="7" t="s">
        <v>27</v>
      </c>
      <c r="D163" s="7" t="s">
        <v>28</v>
      </c>
      <c r="E163" s="7" t="s">
        <v>29</v>
      </c>
      <c r="F163" s="7" t="s">
        <v>30</v>
      </c>
      <c r="G163" s="7" t="s">
        <v>31</v>
      </c>
      <c r="H163" s="7" t="s">
        <v>32</v>
      </c>
      <c r="I163" s="7" t="s">
        <v>33</v>
      </c>
      <c r="J163" s="7" t="s">
        <v>34</v>
      </c>
      <c r="K163" s="7" t="s">
        <v>35</v>
      </c>
      <c r="L163" s="7" t="s">
        <v>36</v>
      </c>
    </row>
    <row r="164" spans="1:12" ht="14.25" x14ac:dyDescent="0.15">
      <c r="A164" s="7" t="s">
        <v>149</v>
      </c>
      <c r="B164" s="7" t="s">
        <v>150</v>
      </c>
      <c r="C164" s="7" t="s">
        <v>112</v>
      </c>
      <c r="D164" s="7">
        <v>800</v>
      </c>
      <c r="E164" s="7">
        <v>21</v>
      </c>
      <c r="F164" s="7">
        <v>800</v>
      </c>
      <c r="G164" s="7">
        <v>275</v>
      </c>
      <c r="H164" s="7">
        <v>11</v>
      </c>
      <c r="I164" s="7">
        <v>1086</v>
      </c>
      <c r="J164" s="7">
        <v>76</v>
      </c>
      <c r="K164" s="7">
        <v>76</v>
      </c>
      <c r="L164" s="7">
        <v>1010</v>
      </c>
    </row>
    <row r="165" spans="1:12" ht="9" customHeight="1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4.25" x14ac:dyDescent="0.15">
      <c r="A166" s="7" t="s">
        <v>25</v>
      </c>
      <c r="B166" s="7" t="s">
        <v>26</v>
      </c>
      <c r="C166" s="7" t="s">
        <v>27</v>
      </c>
      <c r="D166" s="7" t="s">
        <v>28</v>
      </c>
      <c r="E166" s="7" t="s">
        <v>29</v>
      </c>
      <c r="F166" s="7" t="s">
        <v>30</v>
      </c>
      <c r="G166" s="7" t="s">
        <v>31</v>
      </c>
      <c r="H166" s="7" t="s">
        <v>32</v>
      </c>
      <c r="I166" s="7" t="s">
        <v>33</v>
      </c>
      <c r="J166" s="7" t="s">
        <v>34</v>
      </c>
      <c r="K166" s="7" t="s">
        <v>35</v>
      </c>
      <c r="L166" s="7" t="s">
        <v>36</v>
      </c>
    </row>
    <row r="167" spans="1:12" ht="14.25" x14ac:dyDescent="0.15">
      <c r="A167" s="7" t="s">
        <v>151</v>
      </c>
      <c r="B167" s="7" t="s">
        <v>152</v>
      </c>
      <c r="C167" s="7" t="s">
        <v>112</v>
      </c>
      <c r="D167" s="7">
        <v>800</v>
      </c>
      <c r="E167" s="7">
        <v>21</v>
      </c>
      <c r="F167" s="7">
        <v>800</v>
      </c>
      <c r="G167" s="7">
        <v>280</v>
      </c>
      <c r="H167" s="7">
        <v>10</v>
      </c>
      <c r="I167" s="7">
        <v>1090</v>
      </c>
      <c r="J167" s="7">
        <v>75</v>
      </c>
      <c r="K167" s="7">
        <v>75</v>
      </c>
      <c r="L167" s="7">
        <v>1015</v>
      </c>
    </row>
    <row r="168" spans="1:12" ht="9" customHeight="1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4.25" x14ac:dyDescent="0.15">
      <c r="A169" s="7" t="s">
        <v>25</v>
      </c>
      <c r="B169" s="7" t="s">
        <v>26</v>
      </c>
      <c r="C169" s="7" t="s">
        <v>27</v>
      </c>
      <c r="D169" s="7" t="s">
        <v>28</v>
      </c>
      <c r="E169" s="7" t="s">
        <v>29</v>
      </c>
      <c r="F169" s="7" t="s">
        <v>30</v>
      </c>
      <c r="G169" s="7" t="s">
        <v>31</v>
      </c>
      <c r="H169" s="7" t="s">
        <v>32</v>
      </c>
      <c r="I169" s="7" t="s">
        <v>33</v>
      </c>
      <c r="J169" s="7" t="s">
        <v>34</v>
      </c>
      <c r="K169" s="7" t="s">
        <v>35</v>
      </c>
      <c r="L169" s="7" t="s">
        <v>36</v>
      </c>
    </row>
    <row r="170" spans="1:12" ht="14.25" x14ac:dyDescent="0.15">
      <c r="A170" s="7" t="s">
        <v>153</v>
      </c>
      <c r="B170" s="7" t="s">
        <v>154</v>
      </c>
      <c r="C170" s="7" t="s">
        <v>112</v>
      </c>
      <c r="D170" s="7">
        <v>800</v>
      </c>
      <c r="E170" s="7">
        <v>21</v>
      </c>
      <c r="F170" s="7">
        <v>800</v>
      </c>
      <c r="G170" s="7">
        <v>285</v>
      </c>
      <c r="H170" s="7">
        <v>9</v>
      </c>
      <c r="I170" s="7">
        <v>1094</v>
      </c>
      <c r="J170" s="7">
        <v>74</v>
      </c>
      <c r="K170" s="7">
        <v>74</v>
      </c>
      <c r="L170" s="7">
        <v>1020</v>
      </c>
    </row>
    <row r="171" spans="1:12" ht="9" customHeight="1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4.25" x14ac:dyDescent="0.15">
      <c r="A172" s="7" t="s">
        <v>25</v>
      </c>
      <c r="B172" s="7" t="s">
        <v>26</v>
      </c>
      <c r="C172" s="7" t="s">
        <v>27</v>
      </c>
      <c r="D172" s="7" t="s">
        <v>28</v>
      </c>
      <c r="E172" s="7" t="s">
        <v>29</v>
      </c>
      <c r="F172" s="7" t="s">
        <v>30</v>
      </c>
      <c r="G172" s="7" t="s">
        <v>31</v>
      </c>
      <c r="H172" s="7" t="s">
        <v>32</v>
      </c>
      <c r="I172" s="7" t="s">
        <v>33</v>
      </c>
      <c r="J172" s="7" t="s">
        <v>34</v>
      </c>
      <c r="K172" s="7" t="s">
        <v>35</v>
      </c>
      <c r="L172" s="7" t="s">
        <v>36</v>
      </c>
    </row>
    <row r="173" spans="1:12" ht="14.25" x14ac:dyDescent="0.15">
      <c r="A173" s="7" t="s">
        <v>155</v>
      </c>
      <c r="B173" s="7" t="s">
        <v>156</v>
      </c>
      <c r="C173" s="7" t="s">
        <v>112</v>
      </c>
      <c r="D173" s="7">
        <v>800</v>
      </c>
      <c r="E173" s="7">
        <v>21</v>
      </c>
      <c r="F173" s="7">
        <v>800</v>
      </c>
      <c r="G173" s="7">
        <v>290</v>
      </c>
      <c r="H173" s="7">
        <v>8</v>
      </c>
      <c r="I173" s="7">
        <v>1098</v>
      </c>
      <c r="J173" s="7">
        <v>73</v>
      </c>
      <c r="K173" s="7">
        <v>73</v>
      </c>
      <c r="L173" s="7">
        <v>1025</v>
      </c>
    </row>
    <row r="174" spans="1:12" ht="9" customHeight="1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4.25" x14ac:dyDescent="0.15">
      <c r="A175" s="7" t="s">
        <v>25</v>
      </c>
      <c r="B175" s="7" t="s">
        <v>26</v>
      </c>
      <c r="C175" s="7" t="s">
        <v>27</v>
      </c>
      <c r="D175" s="7" t="s">
        <v>28</v>
      </c>
      <c r="E175" s="7" t="s">
        <v>29</v>
      </c>
      <c r="F175" s="7" t="s">
        <v>30</v>
      </c>
      <c r="G175" s="7" t="s">
        <v>31</v>
      </c>
      <c r="H175" s="7" t="s">
        <v>32</v>
      </c>
      <c r="I175" s="7" t="s">
        <v>33</v>
      </c>
      <c r="J175" s="7" t="s">
        <v>34</v>
      </c>
      <c r="K175" s="7" t="s">
        <v>35</v>
      </c>
      <c r="L175" s="7" t="s">
        <v>36</v>
      </c>
    </row>
    <row r="176" spans="1:12" ht="14.25" x14ac:dyDescent="0.15">
      <c r="A176" s="7" t="s">
        <v>157</v>
      </c>
      <c r="B176" s="7" t="s">
        <v>158</v>
      </c>
      <c r="C176" s="7" t="s">
        <v>112</v>
      </c>
      <c r="D176" s="7">
        <v>800</v>
      </c>
      <c r="E176" s="7">
        <v>21</v>
      </c>
      <c r="F176" s="7">
        <v>800</v>
      </c>
      <c r="G176" s="7">
        <v>295</v>
      </c>
      <c r="H176" s="7">
        <v>7</v>
      </c>
      <c r="I176" s="7">
        <v>1102</v>
      </c>
      <c r="J176" s="7">
        <v>72</v>
      </c>
      <c r="K176" s="7">
        <v>72</v>
      </c>
      <c r="L176" s="7">
        <v>1030</v>
      </c>
    </row>
    <row r="177" spans="1:12" ht="9" customHeight="1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4.25" x14ac:dyDescent="0.15">
      <c r="A178" s="7" t="s">
        <v>25</v>
      </c>
      <c r="B178" s="7" t="s">
        <v>26</v>
      </c>
      <c r="C178" s="7" t="s">
        <v>27</v>
      </c>
      <c r="D178" s="7" t="s">
        <v>28</v>
      </c>
      <c r="E178" s="7" t="s">
        <v>29</v>
      </c>
      <c r="F178" s="7" t="s">
        <v>30</v>
      </c>
      <c r="G178" s="7" t="s">
        <v>31</v>
      </c>
      <c r="H178" s="7" t="s">
        <v>32</v>
      </c>
      <c r="I178" s="7" t="s">
        <v>33</v>
      </c>
      <c r="J178" s="7" t="s">
        <v>34</v>
      </c>
      <c r="K178" s="7" t="s">
        <v>35</v>
      </c>
      <c r="L178" s="7" t="s">
        <v>36</v>
      </c>
    </row>
    <row r="179" spans="1:12" ht="14.25" x14ac:dyDescent="0.15">
      <c r="A179" s="7" t="s">
        <v>159</v>
      </c>
      <c r="B179" s="7" t="s">
        <v>160</v>
      </c>
      <c r="C179" s="7" t="s">
        <v>112</v>
      </c>
      <c r="D179" s="7">
        <v>800</v>
      </c>
      <c r="E179" s="7">
        <v>21</v>
      </c>
      <c r="F179" s="7">
        <v>800</v>
      </c>
      <c r="G179" s="7">
        <v>300</v>
      </c>
      <c r="H179" s="7">
        <v>6</v>
      </c>
      <c r="I179" s="7">
        <v>1106</v>
      </c>
      <c r="J179" s="7">
        <v>71</v>
      </c>
      <c r="K179" s="7">
        <v>71</v>
      </c>
      <c r="L179" s="7">
        <v>1035</v>
      </c>
    </row>
    <row r="180" spans="1:12" ht="9" customHeight="1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4.25" x14ac:dyDescent="0.15">
      <c r="A181" s="7" t="s">
        <v>25</v>
      </c>
      <c r="B181" s="7" t="s">
        <v>26</v>
      </c>
      <c r="C181" s="7" t="s">
        <v>27</v>
      </c>
      <c r="D181" s="7" t="s">
        <v>28</v>
      </c>
      <c r="E181" s="7" t="s">
        <v>29</v>
      </c>
      <c r="F181" s="7" t="s">
        <v>30</v>
      </c>
      <c r="G181" s="7" t="s">
        <v>31</v>
      </c>
      <c r="H181" s="7" t="s">
        <v>32</v>
      </c>
      <c r="I181" s="7" t="s">
        <v>33</v>
      </c>
      <c r="J181" s="7" t="s">
        <v>34</v>
      </c>
      <c r="K181" s="7" t="s">
        <v>35</v>
      </c>
      <c r="L181" s="7" t="s">
        <v>36</v>
      </c>
    </row>
    <row r="182" spans="1:12" ht="14.25" x14ac:dyDescent="0.15">
      <c r="A182" s="7" t="s">
        <v>161</v>
      </c>
      <c r="B182" s="7" t="s">
        <v>162</v>
      </c>
      <c r="C182" s="7" t="s">
        <v>112</v>
      </c>
      <c r="D182" s="7">
        <v>800</v>
      </c>
      <c r="E182" s="7">
        <v>21</v>
      </c>
      <c r="F182" s="7">
        <v>800</v>
      </c>
      <c r="G182" s="7">
        <v>305</v>
      </c>
      <c r="H182" s="7">
        <v>5</v>
      </c>
      <c r="I182" s="7">
        <v>1110</v>
      </c>
      <c r="J182" s="7">
        <v>70</v>
      </c>
      <c r="K182" s="7">
        <v>70</v>
      </c>
      <c r="L182" s="7">
        <v>1040</v>
      </c>
    </row>
    <row r="183" spans="1:12" ht="9" customHeight="1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4.25" x14ac:dyDescent="0.15">
      <c r="A184" s="7" t="s">
        <v>25</v>
      </c>
      <c r="B184" s="7" t="s">
        <v>26</v>
      </c>
      <c r="C184" s="7" t="s">
        <v>27</v>
      </c>
      <c r="D184" s="7" t="s">
        <v>28</v>
      </c>
      <c r="E184" s="7" t="s">
        <v>29</v>
      </c>
      <c r="F184" s="7" t="s">
        <v>30</v>
      </c>
      <c r="G184" s="7" t="s">
        <v>31</v>
      </c>
      <c r="H184" s="7" t="s">
        <v>32</v>
      </c>
      <c r="I184" s="7" t="s">
        <v>33</v>
      </c>
      <c r="J184" s="7" t="s">
        <v>34</v>
      </c>
      <c r="K184" s="7" t="s">
        <v>35</v>
      </c>
      <c r="L184" s="7" t="s">
        <v>36</v>
      </c>
    </row>
    <row r="185" spans="1:12" ht="14.25" x14ac:dyDescent="0.15">
      <c r="A185" s="7" t="s">
        <v>163</v>
      </c>
      <c r="B185" s="7" t="s">
        <v>164</v>
      </c>
      <c r="C185" s="7" t="s">
        <v>112</v>
      </c>
      <c r="D185" s="7">
        <v>800</v>
      </c>
      <c r="E185" s="7">
        <v>21</v>
      </c>
      <c r="F185" s="7">
        <v>800</v>
      </c>
      <c r="G185" s="7">
        <v>310</v>
      </c>
      <c r="H185" s="7">
        <v>4</v>
      </c>
      <c r="I185" s="7">
        <v>1114</v>
      </c>
      <c r="J185" s="7">
        <v>69</v>
      </c>
      <c r="K185" s="7">
        <v>69</v>
      </c>
      <c r="L185" s="7">
        <v>1045</v>
      </c>
    </row>
    <row r="186" spans="1:12" ht="9" customHeight="1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4.25" x14ac:dyDescent="0.15">
      <c r="A187" s="7" t="s">
        <v>25</v>
      </c>
      <c r="B187" s="7" t="s">
        <v>26</v>
      </c>
      <c r="C187" s="7" t="s">
        <v>27</v>
      </c>
      <c r="D187" s="7" t="s">
        <v>28</v>
      </c>
      <c r="E187" s="7" t="s">
        <v>29</v>
      </c>
      <c r="F187" s="7" t="s">
        <v>30</v>
      </c>
      <c r="G187" s="7" t="s">
        <v>31</v>
      </c>
      <c r="H187" s="7" t="s">
        <v>32</v>
      </c>
      <c r="I187" s="7" t="s">
        <v>33</v>
      </c>
      <c r="J187" s="7" t="s">
        <v>34</v>
      </c>
      <c r="K187" s="7" t="s">
        <v>35</v>
      </c>
      <c r="L187" s="7" t="s">
        <v>36</v>
      </c>
    </row>
    <row r="188" spans="1:12" ht="14.25" x14ac:dyDescent="0.15">
      <c r="A188" s="7" t="s">
        <v>165</v>
      </c>
      <c r="B188" s="7" t="s">
        <v>166</v>
      </c>
      <c r="C188" s="7" t="s">
        <v>112</v>
      </c>
      <c r="D188" s="7">
        <v>800</v>
      </c>
      <c r="E188" s="7">
        <v>21</v>
      </c>
      <c r="F188" s="7">
        <v>800</v>
      </c>
      <c r="G188" s="7">
        <v>315</v>
      </c>
      <c r="H188" s="7">
        <v>3</v>
      </c>
      <c r="I188" s="7">
        <v>1118</v>
      </c>
      <c r="J188" s="7">
        <v>68</v>
      </c>
      <c r="K188" s="7">
        <v>68</v>
      </c>
      <c r="L188" s="7">
        <v>1050</v>
      </c>
    </row>
    <row r="189" spans="1:12" ht="9" customHeight="1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4.25" x14ac:dyDescent="0.15">
      <c r="A190" s="7" t="s">
        <v>25</v>
      </c>
      <c r="B190" s="7" t="s">
        <v>26</v>
      </c>
      <c r="C190" s="7" t="s">
        <v>27</v>
      </c>
      <c r="D190" s="7" t="s">
        <v>28</v>
      </c>
      <c r="E190" s="7" t="s">
        <v>29</v>
      </c>
      <c r="F190" s="7" t="s">
        <v>30</v>
      </c>
      <c r="G190" s="7" t="s">
        <v>31</v>
      </c>
      <c r="H190" s="7" t="s">
        <v>32</v>
      </c>
      <c r="I190" s="7" t="s">
        <v>33</v>
      </c>
      <c r="J190" s="7" t="s">
        <v>34</v>
      </c>
      <c r="K190" s="7" t="s">
        <v>35</v>
      </c>
      <c r="L190" s="7" t="s">
        <v>36</v>
      </c>
    </row>
    <row r="191" spans="1:12" ht="14.25" x14ac:dyDescent="0.15">
      <c r="A191" s="7" t="s">
        <v>167</v>
      </c>
      <c r="B191" s="7" t="s">
        <v>168</v>
      </c>
      <c r="C191" s="7" t="s">
        <v>112</v>
      </c>
      <c r="D191" s="7">
        <v>800</v>
      </c>
      <c r="E191" s="7">
        <v>21</v>
      </c>
      <c r="F191" s="7">
        <v>800</v>
      </c>
      <c r="G191" s="7">
        <v>320</v>
      </c>
      <c r="H191" s="7">
        <v>2</v>
      </c>
      <c r="I191" s="7">
        <v>1122</v>
      </c>
      <c r="J191" s="7">
        <v>67</v>
      </c>
      <c r="K191" s="7">
        <v>67</v>
      </c>
      <c r="L191" s="7">
        <v>1055</v>
      </c>
    </row>
    <row r="192" spans="1:12" ht="9" customHeight="1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4.25" x14ac:dyDescent="0.15">
      <c r="A193" s="7" t="s">
        <v>25</v>
      </c>
      <c r="B193" s="7" t="s">
        <v>26</v>
      </c>
      <c r="C193" s="7" t="s">
        <v>27</v>
      </c>
      <c r="D193" s="7" t="s">
        <v>28</v>
      </c>
      <c r="E193" s="7" t="s">
        <v>29</v>
      </c>
      <c r="F193" s="7" t="s">
        <v>30</v>
      </c>
      <c r="G193" s="7" t="s">
        <v>31</v>
      </c>
      <c r="H193" s="7" t="s">
        <v>32</v>
      </c>
      <c r="I193" s="7" t="s">
        <v>33</v>
      </c>
      <c r="J193" s="7" t="s">
        <v>34</v>
      </c>
      <c r="K193" s="7" t="s">
        <v>35</v>
      </c>
      <c r="L193" s="7" t="s">
        <v>36</v>
      </c>
    </row>
    <row r="194" spans="1:12" ht="14.25" x14ac:dyDescent="0.15">
      <c r="A194" s="7" t="s">
        <v>169</v>
      </c>
      <c r="B194" s="7" t="s">
        <v>170</v>
      </c>
      <c r="C194" s="7" t="s">
        <v>112</v>
      </c>
      <c r="D194" s="7">
        <v>800</v>
      </c>
      <c r="E194" s="7">
        <v>21</v>
      </c>
      <c r="F194" s="7">
        <v>800</v>
      </c>
      <c r="G194" s="7">
        <v>325</v>
      </c>
      <c r="H194" s="7">
        <v>1</v>
      </c>
      <c r="I194" s="7">
        <v>1126</v>
      </c>
      <c r="J194" s="7">
        <v>66</v>
      </c>
      <c r="K194" s="7">
        <v>66</v>
      </c>
      <c r="L194" s="7">
        <v>1060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D28" sqref="A1:L66"/>
    </sheetView>
  </sheetViews>
  <sheetFormatPr defaultRowHeight="13.5" x14ac:dyDescent="0.15"/>
  <sheetData>
    <row r="1" spans="1:12" ht="14.25" x14ac:dyDescent="0.1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</row>
    <row r="2" spans="1:12" ht="14.25" x14ac:dyDescent="0.15">
      <c r="A2" s="7" t="s">
        <v>37</v>
      </c>
      <c r="B2" s="7" t="s">
        <v>38</v>
      </c>
      <c r="C2" s="7" t="s">
        <v>39</v>
      </c>
      <c r="D2" s="7">
        <v>3000</v>
      </c>
      <c r="E2" s="7">
        <v>21</v>
      </c>
      <c r="F2" s="7">
        <v>3000</v>
      </c>
      <c r="G2" s="7">
        <v>5</v>
      </c>
      <c r="H2" s="7">
        <v>65</v>
      </c>
      <c r="I2" s="7">
        <v>3070</v>
      </c>
      <c r="J2" s="7">
        <v>130</v>
      </c>
      <c r="K2" s="7">
        <v>277</v>
      </c>
      <c r="L2" s="7">
        <v>2793</v>
      </c>
    </row>
    <row r="3" spans="1:12" ht="14.25" x14ac:dyDescent="0.15">
      <c r="A3" s="7" t="s">
        <v>40</v>
      </c>
      <c r="B3" s="7" t="s">
        <v>41</v>
      </c>
      <c r="C3" s="7" t="s">
        <v>42</v>
      </c>
      <c r="D3" s="7">
        <v>1200</v>
      </c>
      <c r="E3" s="7">
        <v>21</v>
      </c>
      <c r="F3" s="7">
        <v>1200</v>
      </c>
      <c r="G3" s="7">
        <v>10</v>
      </c>
      <c r="H3" s="7">
        <v>64</v>
      </c>
      <c r="I3" s="7">
        <v>1274</v>
      </c>
      <c r="J3" s="7">
        <v>129</v>
      </c>
      <c r="K3" s="7">
        <v>129</v>
      </c>
      <c r="L3" s="7">
        <v>1145</v>
      </c>
    </row>
    <row r="4" spans="1:12" ht="14.25" x14ac:dyDescent="0.15">
      <c r="A4" s="7" t="s">
        <v>43</v>
      </c>
      <c r="B4" s="7" t="s">
        <v>44</v>
      </c>
      <c r="C4" s="7" t="s">
        <v>42</v>
      </c>
      <c r="D4" s="7">
        <v>1200</v>
      </c>
      <c r="E4" s="7">
        <v>21</v>
      </c>
      <c r="F4" s="7">
        <v>1200</v>
      </c>
      <c r="G4" s="7">
        <v>15</v>
      </c>
      <c r="H4" s="7">
        <v>63</v>
      </c>
      <c r="I4" s="7">
        <v>1278</v>
      </c>
      <c r="J4" s="7">
        <v>128</v>
      </c>
      <c r="K4" s="7">
        <v>128</v>
      </c>
      <c r="L4" s="7">
        <v>1150</v>
      </c>
    </row>
    <row r="5" spans="1:12" ht="14.25" x14ac:dyDescent="0.15">
      <c r="A5" s="7" t="s">
        <v>45</v>
      </c>
      <c r="B5" s="7" t="s">
        <v>46</v>
      </c>
      <c r="C5" s="7" t="s">
        <v>42</v>
      </c>
      <c r="D5" s="7">
        <v>1200</v>
      </c>
      <c r="E5" s="7">
        <v>21</v>
      </c>
      <c r="F5" s="7">
        <v>1200</v>
      </c>
      <c r="G5" s="7">
        <v>20</v>
      </c>
      <c r="H5" s="7">
        <v>62</v>
      </c>
      <c r="I5" s="7">
        <v>1282</v>
      </c>
      <c r="J5" s="7">
        <v>127</v>
      </c>
      <c r="K5" s="7">
        <v>127</v>
      </c>
      <c r="L5" s="7">
        <v>1155</v>
      </c>
    </row>
    <row r="6" spans="1:12" ht="14.25" x14ac:dyDescent="0.15">
      <c r="A6" s="7" t="s">
        <v>47</v>
      </c>
      <c r="B6" s="7" t="s">
        <v>48</v>
      </c>
      <c r="C6" s="7" t="s">
        <v>42</v>
      </c>
      <c r="D6" s="7">
        <v>1200</v>
      </c>
      <c r="E6" s="7">
        <v>21</v>
      </c>
      <c r="F6" s="7">
        <v>1200</v>
      </c>
      <c r="G6" s="7">
        <v>25</v>
      </c>
      <c r="H6" s="7">
        <v>61</v>
      </c>
      <c r="I6" s="7">
        <v>1286</v>
      </c>
      <c r="J6" s="7">
        <v>126</v>
      </c>
      <c r="K6" s="7">
        <v>126</v>
      </c>
      <c r="L6" s="7">
        <v>1160</v>
      </c>
    </row>
    <row r="7" spans="1:12" ht="14.25" x14ac:dyDescent="0.15">
      <c r="A7" s="7" t="s">
        <v>49</v>
      </c>
      <c r="B7" s="7" t="s">
        <v>50</v>
      </c>
      <c r="C7" s="7" t="s">
        <v>42</v>
      </c>
      <c r="D7" s="7">
        <v>1200</v>
      </c>
      <c r="E7" s="7">
        <v>21</v>
      </c>
      <c r="F7" s="7">
        <v>1200</v>
      </c>
      <c r="G7" s="7">
        <v>30</v>
      </c>
      <c r="H7" s="7">
        <v>60</v>
      </c>
      <c r="I7" s="7">
        <v>1290</v>
      </c>
      <c r="J7" s="7">
        <v>125</v>
      </c>
      <c r="K7" s="7">
        <v>125</v>
      </c>
      <c r="L7" s="7">
        <v>1165</v>
      </c>
    </row>
    <row r="8" spans="1:12" ht="14.25" x14ac:dyDescent="0.15">
      <c r="A8" s="7" t="s">
        <v>51</v>
      </c>
      <c r="B8" s="7" t="s">
        <v>52</v>
      </c>
      <c r="C8" s="7" t="s">
        <v>42</v>
      </c>
      <c r="D8" s="7">
        <v>1200</v>
      </c>
      <c r="E8" s="7">
        <v>21</v>
      </c>
      <c r="F8" s="7">
        <v>1200</v>
      </c>
      <c r="G8" s="7">
        <v>35</v>
      </c>
      <c r="H8" s="7">
        <v>59</v>
      </c>
      <c r="I8" s="7">
        <v>1294</v>
      </c>
      <c r="J8" s="7">
        <v>124</v>
      </c>
      <c r="K8" s="7">
        <v>124</v>
      </c>
      <c r="L8" s="7">
        <v>1170</v>
      </c>
    </row>
    <row r="9" spans="1:12" ht="14.25" x14ac:dyDescent="0.15">
      <c r="A9" s="7" t="s">
        <v>53</v>
      </c>
      <c r="B9" s="7" t="s">
        <v>54</v>
      </c>
      <c r="C9" s="7" t="s">
        <v>42</v>
      </c>
      <c r="D9" s="7">
        <v>1200</v>
      </c>
      <c r="E9" s="7">
        <v>21</v>
      </c>
      <c r="F9" s="7">
        <v>1200</v>
      </c>
      <c r="G9" s="7">
        <v>40</v>
      </c>
      <c r="H9" s="7">
        <v>58</v>
      </c>
      <c r="I9" s="7">
        <v>1298</v>
      </c>
      <c r="J9" s="7">
        <v>123</v>
      </c>
      <c r="K9" s="7">
        <v>123</v>
      </c>
      <c r="L9" s="7">
        <v>1175</v>
      </c>
    </row>
    <row r="10" spans="1:12" ht="14.25" x14ac:dyDescent="0.15">
      <c r="A10" s="7" t="s">
        <v>55</v>
      </c>
      <c r="B10" s="7" t="s">
        <v>56</v>
      </c>
      <c r="C10" s="7" t="s">
        <v>42</v>
      </c>
      <c r="D10" s="7">
        <v>1200</v>
      </c>
      <c r="E10" s="7">
        <v>21</v>
      </c>
      <c r="F10" s="7">
        <v>1200</v>
      </c>
      <c r="G10" s="7">
        <v>45</v>
      </c>
      <c r="H10" s="7">
        <v>57</v>
      </c>
      <c r="I10" s="7">
        <v>1302</v>
      </c>
      <c r="J10" s="7">
        <v>122</v>
      </c>
      <c r="K10" s="7">
        <v>122</v>
      </c>
      <c r="L10" s="7">
        <v>1180</v>
      </c>
    </row>
    <row r="11" spans="1:12" ht="14.25" x14ac:dyDescent="0.15">
      <c r="A11" s="7" t="s">
        <v>57</v>
      </c>
      <c r="B11" s="7" t="s">
        <v>58</v>
      </c>
      <c r="C11" s="7" t="s">
        <v>42</v>
      </c>
      <c r="D11" s="7">
        <v>1200</v>
      </c>
      <c r="E11" s="7">
        <v>21</v>
      </c>
      <c r="F11" s="7">
        <v>1200</v>
      </c>
      <c r="G11" s="7">
        <v>50</v>
      </c>
      <c r="H11" s="7">
        <v>56</v>
      </c>
      <c r="I11" s="7">
        <v>1306</v>
      </c>
      <c r="J11" s="7">
        <v>121</v>
      </c>
      <c r="K11" s="7">
        <v>121</v>
      </c>
      <c r="L11" s="7">
        <v>1185</v>
      </c>
    </row>
    <row r="12" spans="1:12" ht="14.25" x14ac:dyDescent="0.15">
      <c r="A12" s="7" t="s">
        <v>59</v>
      </c>
      <c r="B12" s="7" t="s">
        <v>60</v>
      </c>
      <c r="C12" s="7" t="s">
        <v>61</v>
      </c>
      <c r="D12" s="7">
        <v>1500</v>
      </c>
      <c r="E12" s="7">
        <v>21</v>
      </c>
      <c r="F12" s="7">
        <v>1500</v>
      </c>
      <c r="G12" s="7">
        <v>55</v>
      </c>
      <c r="H12" s="7">
        <v>55</v>
      </c>
      <c r="I12" s="7">
        <v>1610</v>
      </c>
      <c r="J12" s="7">
        <v>120</v>
      </c>
      <c r="K12" s="7">
        <v>120.5</v>
      </c>
      <c r="L12" s="7">
        <v>1489.5</v>
      </c>
    </row>
    <row r="13" spans="1:12" ht="14.25" x14ac:dyDescent="0.15">
      <c r="A13" s="7" t="s">
        <v>62</v>
      </c>
      <c r="B13" s="7" t="s">
        <v>63</v>
      </c>
      <c r="C13" s="7" t="s">
        <v>61</v>
      </c>
      <c r="D13" s="7">
        <v>1500</v>
      </c>
      <c r="E13" s="7">
        <v>21</v>
      </c>
      <c r="F13" s="7">
        <v>1500</v>
      </c>
      <c r="G13" s="7">
        <v>60</v>
      </c>
      <c r="H13" s="7">
        <v>54</v>
      </c>
      <c r="I13" s="7">
        <v>1614</v>
      </c>
      <c r="J13" s="7">
        <v>119</v>
      </c>
      <c r="K13" s="7">
        <v>119.7</v>
      </c>
      <c r="L13" s="7">
        <v>1494.3</v>
      </c>
    </row>
    <row r="14" spans="1:12" ht="14.25" x14ac:dyDescent="0.15">
      <c r="A14" s="7" t="s">
        <v>64</v>
      </c>
      <c r="B14" s="7" t="s">
        <v>65</v>
      </c>
      <c r="C14" s="7" t="s">
        <v>61</v>
      </c>
      <c r="D14" s="7">
        <v>1500</v>
      </c>
      <c r="E14" s="7">
        <v>21</v>
      </c>
      <c r="F14" s="7">
        <v>1500</v>
      </c>
      <c r="G14" s="7">
        <v>65</v>
      </c>
      <c r="H14" s="7">
        <v>53</v>
      </c>
      <c r="I14" s="7">
        <v>1618</v>
      </c>
      <c r="J14" s="7">
        <v>118</v>
      </c>
      <c r="K14" s="7">
        <v>118.9</v>
      </c>
      <c r="L14" s="7">
        <v>1499.1</v>
      </c>
    </row>
    <row r="15" spans="1:12" ht="14.25" x14ac:dyDescent="0.15">
      <c r="A15" s="7" t="s">
        <v>66</v>
      </c>
      <c r="B15" s="7" t="s">
        <v>67</v>
      </c>
      <c r="C15" s="7" t="s">
        <v>61</v>
      </c>
      <c r="D15" s="7">
        <v>1500</v>
      </c>
      <c r="E15" s="7">
        <v>21</v>
      </c>
      <c r="F15" s="7">
        <v>1500</v>
      </c>
      <c r="G15" s="7">
        <v>70</v>
      </c>
      <c r="H15" s="7">
        <v>52</v>
      </c>
      <c r="I15" s="7">
        <v>1622</v>
      </c>
      <c r="J15" s="7">
        <v>117</v>
      </c>
      <c r="K15" s="7">
        <v>118.1</v>
      </c>
      <c r="L15" s="7">
        <v>1503.9</v>
      </c>
    </row>
    <row r="16" spans="1:12" ht="14.25" x14ac:dyDescent="0.15">
      <c r="A16" s="7" t="s">
        <v>68</v>
      </c>
      <c r="B16" s="7" t="s">
        <v>69</v>
      </c>
      <c r="C16" s="7" t="s">
        <v>61</v>
      </c>
      <c r="D16" s="7">
        <v>1500</v>
      </c>
      <c r="E16" s="7">
        <v>21</v>
      </c>
      <c r="F16" s="7">
        <v>1500</v>
      </c>
      <c r="G16" s="7">
        <v>75</v>
      </c>
      <c r="H16" s="7">
        <v>51</v>
      </c>
      <c r="I16" s="7">
        <v>1626</v>
      </c>
      <c r="J16" s="7">
        <v>116</v>
      </c>
      <c r="K16" s="7">
        <v>117.3</v>
      </c>
      <c r="L16" s="7">
        <v>1508.7</v>
      </c>
    </row>
    <row r="17" spans="1:12" ht="14.25" x14ac:dyDescent="0.15">
      <c r="A17" s="7" t="s">
        <v>70</v>
      </c>
      <c r="B17" s="7" t="s">
        <v>71</v>
      </c>
      <c r="C17" s="7" t="s">
        <v>61</v>
      </c>
      <c r="D17" s="7">
        <v>1500</v>
      </c>
      <c r="E17" s="7">
        <v>21</v>
      </c>
      <c r="F17" s="7">
        <v>1500</v>
      </c>
      <c r="G17" s="7">
        <v>80</v>
      </c>
      <c r="H17" s="7">
        <v>50</v>
      </c>
      <c r="I17" s="7">
        <v>1630</v>
      </c>
      <c r="J17" s="7">
        <v>115</v>
      </c>
      <c r="K17" s="7">
        <v>116.5</v>
      </c>
      <c r="L17" s="7">
        <v>1513.5</v>
      </c>
    </row>
    <row r="18" spans="1:12" ht="14.25" x14ac:dyDescent="0.15">
      <c r="A18" s="7" t="s">
        <v>72</v>
      </c>
      <c r="B18" s="7" t="s">
        <v>73</v>
      </c>
      <c r="C18" s="7" t="s">
        <v>61</v>
      </c>
      <c r="D18" s="7">
        <v>1500</v>
      </c>
      <c r="E18" s="7">
        <v>21</v>
      </c>
      <c r="F18" s="7">
        <v>1500</v>
      </c>
      <c r="G18" s="7">
        <v>85</v>
      </c>
      <c r="H18" s="7">
        <v>49</v>
      </c>
      <c r="I18" s="7">
        <v>1634</v>
      </c>
      <c r="J18" s="7">
        <v>114</v>
      </c>
      <c r="K18" s="7">
        <v>115.7</v>
      </c>
      <c r="L18" s="7">
        <v>1518.3</v>
      </c>
    </row>
    <row r="19" spans="1:12" ht="14.25" x14ac:dyDescent="0.15">
      <c r="A19" s="7" t="s">
        <v>74</v>
      </c>
      <c r="B19" s="7" t="s">
        <v>75</v>
      </c>
      <c r="C19" s="7" t="s">
        <v>61</v>
      </c>
      <c r="D19" s="7">
        <v>1500</v>
      </c>
      <c r="E19" s="7">
        <v>21</v>
      </c>
      <c r="F19" s="7">
        <v>1500</v>
      </c>
      <c r="G19" s="7">
        <v>90</v>
      </c>
      <c r="H19" s="7">
        <v>48</v>
      </c>
      <c r="I19" s="7">
        <v>1638</v>
      </c>
      <c r="J19" s="7">
        <v>113</v>
      </c>
      <c r="K19" s="7">
        <v>114.9</v>
      </c>
      <c r="L19" s="7">
        <v>1523.1</v>
      </c>
    </row>
    <row r="20" spans="1:12" ht="14.25" x14ac:dyDescent="0.15">
      <c r="A20" s="7" t="s">
        <v>76</v>
      </c>
      <c r="B20" s="7" t="s">
        <v>77</v>
      </c>
      <c r="C20" s="7" t="s">
        <v>61</v>
      </c>
      <c r="D20" s="7">
        <v>1500</v>
      </c>
      <c r="E20" s="7">
        <v>21</v>
      </c>
      <c r="F20" s="7">
        <v>1500</v>
      </c>
      <c r="G20" s="7">
        <v>95</v>
      </c>
      <c r="H20" s="7">
        <v>47</v>
      </c>
      <c r="I20" s="7">
        <v>1642</v>
      </c>
      <c r="J20" s="7">
        <v>112</v>
      </c>
      <c r="K20" s="7">
        <v>114.1</v>
      </c>
      <c r="L20" s="7">
        <v>1527.9</v>
      </c>
    </row>
    <row r="21" spans="1:12" ht="14.25" x14ac:dyDescent="0.15">
      <c r="A21" s="7" t="s">
        <v>78</v>
      </c>
      <c r="B21" s="7" t="s">
        <v>79</v>
      </c>
      <c r="C21" s="7" t="s">
        <v>61</v>
      </c>
      <c r="D21" s="7">
        <v>1500</v>
      </c>
      <c r="E21" s="7">
        <v>21</v>
      </c>
      <c r="F21" s="7">
        <v>1500</v>
      </c>
      <c r="G21" s="7">
        <v>100</v>
      </c>
      <c r="H21" s="7">
        <v>46</v>
      </c>
      <c r="I21" s="7">
        <v>1646</v>
      </c>
      <c r="J21" s="7">
        <v>111</v>
      </c>
      <c r="K21" s="7">
        <v>113.3</v>
      </c>
      <c r="L21" s="7">
        <v>1532.7</v>
      </c>
    </row>
    <row r="22" spans="1:12" ht="14.25" x14ac:dyDescent="0.15">
      <c r="A22" s="7" t="s">
        <v>80</v>
      </c>
      <c r="B22" s="7" t="s">
        <v>81</v>
      </c>
      <c r="C22" s="7" t="s">
        <v>61</v>
      </c>
      <c r="D22" s="7">
        <v>1500</v>
      </c>
      <c r="E22" s="7">
        <v>21</v>
      </c>
      <c r="F22" s="7">
        <v>1500</v>
      </c>
      <c r="G22" s="7">
        <v>105</v>
      </c>
      <c r="H22" s="7">
        <v>45</v>
      </c>
      <c r="I22" s="7">
        <v>1650</v>
      </c>
      <c r="J22" s="7">
        <v>110</v>
      </c>
      <c r="K22" s="7">
        <v>112.5</v>
      </c>
      <c r="L22" s="7">
        <v>1537.5</v>
      </c>
    </row>
    <row r="23" spans="1:12" ht="14.25" x14ac:dyDescent="0.15">
      <c r="A23" s="7" t="s">
        <v>82</v>
      </c>
      <c r="B23" s="7" t="s">
        <v>83</v>
      </c>
      <c r="C23" s="7" t="s">
        <v>61</v>
      </c>
      <c r="D23" s="7">
        <v>1500</v>
      </c>
      <c r="E23" s="7">
        <v>21</v>
      </c>
      <c r="F23" s="7">
        <v>1500</v>
      </c>
      <c r="G23" s="7">
        <v>110</v>
      </c>
      <c r="H23" s="7">
        <v>44</v>
      </c>
      <c r="I23" s="7">
        <v>1654</v>
      </c>
      <c r="J23" s="7">
        <v>109</v>
      </c>
      <c r="K23" s="7">
        <v>111.7</v>
      </c>
      <c r="L23" s="7">
        <v>1542.3</v>
      </c>
    </row>
    <row r="24" spans="1:12" ht="14.25" x14ac:dyDescent="0.15">
      <c r="A24" s="7" t="s">
        <v>84</v>
      </c>
      <c r="B24" s="7" t="s">
        <v>85</v>
      </c>
      <c r="C24" s="7" t="s">
        <v>61</v>
      </c>
      <c r="D24" s="7">
        <v>1500</v>
      </c>
      <c r="E24" s="7">
        <v>21</v>
      </c>
      <c r="F24" s="7">
        <v>1500</v>
      </c>
      <c r="G24" s="7">
        <v>115</v>
      </c>
      <c r="H24" s="7">
        <v>43</v>
      </c>
      <c r="I24" s="7">
        <v>1658</v>
      </c>
      <c r="J24" s="7">
        <v>108</v>
      </c>
      <c r="K24" s="7">
        <v>110.9</v>
      </c>
      <c r="L24" s="7">
        <v>1547.1</v>
      </c>
    </row>
    <row r="25" spans="1:12" ht="14.25" x14ac:dyDescent="0.15">
      <c r="A25" s="7" t="s">
        <v>86</v>
      </c>
      <c r="B25" s="7" t="s">
        <v>87</v>
      </c>
      <c r="C25" s="7" t="s">
        <v>61</v>
      </c>
      <c r="D25" s="7">
        <v>1500</v>
      </c>
      <c r="E25" s="7">
        <v>21</v>
      </c>
      <c r="F25" s="7">
        <v>1500</v>
      </c>
      <c r="G25" s="7">
        <v>120</v>
      </c>
      <c r="H25" s="7">
        <v>42</v>
      </c>
      <c r="I25" s="7">
        <v>1662</v>
      </c>
      <c r="J25" s="7">
        <v>107</v>
      </c>
      <c r="K25" s="7">
        <v>110.1</v>
      </c>
      <c r="L25" s="7">
        <v>1551.9</v>
      </c>
    </row>
    <row r="26" spans="1:12" ht="14.25" x14ac:dyDescent="0.15">
      <c r="A26" s="7" t="s">
        <v>88</v>
      </c>
      <c r="B26" s="7" t="s">
        <v>89</v>
      </c>
      <c r="C26" s="7" t="s">
        <v>61</v>
      </c>
      <c r="D26" s="7">
        <v>1500</v>
      </c>
      <c r="E26" s="7">
        <v>21</v>
      </c>
      <c r="F26" s="7">
        <v>1500</v>
      </c>
      <c r="G26" s="7">
        <v>125</v>
      </c>
      <c r="H26" s="7">
        <v>41</v>
      </c>
      <c r="I26" s="7">
        <v>1666</v>
      </c>
      <c r="J26" s="7">
        <v>106</v>
      </c>
      <c r="K26" s="7">
        <v>109.3</v>
      </c>
      <c r="L26" s="7">
        <v>1556.7</v>
      </c>
    </row>
    <row r="27" spans="1:12" ht="14.25" x14ac:dyDescent="0.15">
      <c r="A27" s="7" t="s">
        <v>90</v>
      </c>
      <c r="B27" s="7" t="s">
        <v>91</v>
      </c>
      <c r="C27" s="7" t="s">
        <v>61</v>
      </c>
      <c r="D27" s="7">
        <v>1500</v>
      </c>
      <c r="E27" s="7">
        <v>21</v>
      </c>
      <c r="F27" s="7">
        <v>1500</v>
      </c>
      <c r="G27" s="7">
        <v>130</v>
      </c>
      <c r="H27" s="7">
        <v>40</v>
      </c>
      <c r="I27" s="7">
        <v>1670</v>
      </c>
      <c r="J27" s="7">
        <v>105</v>
      </c>
      <c r="K27" s="7">
        <v>108.5</v>
      </c>
      <c r="L27" s="7">
        <v>1561.5</v>
      </c>
    </row>
    <row r="28" spans="1:12" ht="14.25" x14ac:dyDescent="0.15">
      <c r="A28" s="7" t="s">
        <v>92</v>
      </c>
      <c r="B28" s="7" t="s">
        <v>93</v>
      </c>
      <c r="C28" s="7" t="s">
        <v>61</v>
      </c>
      <c r="D28" s="7">
        <v>1500</v>
      </c>
      <c r="E28" s="7">
        <v>21</v>
      </c>
      <c r="F28" s="7">
        <v>1500</v>
      </c>
      <c r="G28" s="7">
        <v>135</v>
      </c>
      <c r="H28" s="7">
        <v>39</v>
      </c>
      <c r="I28" s="7">
        <v>1674</v>
      </c>
      <c r="J28" s="7">
        <v>104</v>
      </c>
      <c r="K28" s="7">
        <v>107.7</v>
      </c>
      <c r="L28" s="7">
        <v>1566.3</v>
      </c>
    </row>
    <row r="29" spans="1:12" ht="14.25" x14ac:dyDescent="0.15">
      <c r="A29" s="7" t="s">
        <v>94</v>
      </c>
      <c r="B29" s="7" t="s">
        <v>95</v>
      </c>
      <c r="C29" s="7" t="s">
        <v>61</v>
      </c>
      <c r="D29" s="7">
        <v>1500</v>
      </c>
      <c r="E29" s="7">
        <v>21</v>
      </c>
      <c r="F29" s="7">
        <v>1500</v>
      </c>
      <c r="G29" s="7">
        <v>140</v>
      </c>
      <c r="H29" s="7">
        <v>38</v>
      </c>
      <c r="I29" s="7">
        <v>1678</v>
      </c>
      <c r="J29" s="7">
        <v>103</v>
      </c>
      <c r="K29" s="7">
        <v>106.9</v>
      </c>
      <c r="L29" s="7">
        <v>1571.1</v>
      </c>
    </row>
    <row r="30" spans="1:12" ht="14.25" x14ac:dyDescent="0.15">
      <c r="A30" s="7" t="s">
        <v>96</v>
      </c>
      <c r="B30" s="7" t="s">
        <v>97</v>
      </c>
      <c r="C30" s="7" t="s">
        <v>61</v>
      </c>
      <c r="D30" s="7">
        <v>1500</v>
      </c>
      <c r="E30" s="7">
        <v>21</v>
      </c>
      <c r="F30" s="7">
        <v>1500</v>
      </c>
      <c r="G30" s="7">
        <v>145</v>
      </c>
      <c r="H30" s="7">
        <v>37</v>
      </c>
      <c r="I30" s="7">
        <v>1682</v>
      </c>
      <c r="J30" s="7">
        <v>102</v>
      </c>
      <c r="K30" s="7">
        <v>106.1</v>
      </c>
      <c r="L30" s="7">
        <v>1575.9</v>
      </c>
    </row>
    <row r="31" spans="1:12" ht="14.25" x14ac:dyDescent="0.15">
      <c r="A31" s="7" t="s">
        <v>98</v>
      </c>
      <c r="B31" s="7" t="s">
        <v>99</v>
      </c>
      <c r="C31" s="7" t="s">
        <v>61</v>
      </c>
      <c r="D31" s="7">
        <v>1500</v>
      </c>
      <c r="E31" s="7">
        <v>21</v>
      </c>
      <c r="F31" s="7">
        <v>1500</v>
      </c>
      <c r="G31" s="7">
        <v>150</v>
      </c>
      <c r="H31" s="7">
        <v>36</v>
      </c>
      <c r="I31" s="7">
        <v>1686</v>
      </c>
      <c r="J31" s="7">
        <v>101</v>
      </c>
      <c r="K31" s="7">
        <v>105.3</v>
      </c>
      <c r="L31" s="7">
        <v>1580.7</v>
      </c>
    </row>
    <row r="32" spans="1:12" ht="14.25" x14ac:dyDescent="0.15">
      <c r="A32" s="7" t="s">
        <v>100</v>
      </c>
      <c r="B32" s="7" t="s">
        <v>101</v>
      </c>
      <c r="C32" s="7" t="s">
        <v>61</v>
      </c>
      <c r="D32" s="7">
        <v>1500</v>
      </c>
      <c r="E32" s="7">
        <v>21</v>
      </c>
      <c r="F32" s="7">
        <v>1500</v>
      </c>
      <c r="G32" s="7">
        <v>155</v>
      </c>
      <c r="H32" s="7">
        <v>35</v>
      </c>
      <c r="I32" s="7">
        <v>1690</v>
      </c>
      <c r="J32" s="7">
        <v>100</v>
      </c>
      <c r="K32" s="7">
        <v>104.5</v>
      </c>
      <c r="L32" s="7">
        <v>1585.5</v>
      </c>
    </row>
    <row r="33" spans="1:12" ht="14.25" x14ac:dyDescent="0.15">
      <c r="A33" s="7" t="s">
        <v>102</v>
      </c>
      <c r="B33" s="7" t="s">
        <v>103</v>
      </c>
      <c r="C33" s="7" t="s">
        <v>61</v>
      </c>
      <c r="D33" s="7">
        <v>1500</v>
      </c>
      <c r="E33" s="7">
        <v>21</v>
      </c>
      <c r="F33" s="7">
        <v>1500</v>
      </c>
      <c r="G33" s="7">
        <v>160</v>
      </c>
      <c r="H33" s="7">
        <v>34</v>
      </c>
      <c r="I33" s="7">
        <v>1694</v>
      </c>
      <c r="J33" s="7">
        <v>99</v>
      </c>
      <c r="K33" s="7">
        <v>103.7</v>
      </c>
      <c r="L33" s="7">
        <v>1590.3</v>
      </c>
    </row>
    <row r="34" spans="1:12" ht="14.25" x14ac:dyDescent="0.15">
      <c r="A34" s="7" t="s">
        <v>104</v>
      </c>
      <c r="B34" s="7" t="s">
        <v>105</v>
      </c>
      <c r="C34" s="7" t="s">
        <v>61</v>
      </c>
      <c r="D34" s="7">
        <v>1500</v>
      </c>
      <c r="E34" s="7">
        <v>21</v>
      </c>
      <c r="F34" s="7">
        <v>1500</v>
      </c>
      <c r="G34" s="7">
        <v>165</v>
      </c>
      <c r="H34" s="7">
        <v>33</v>
      </c>
      <c r="I34" s="7">
        <v>1698</v>
      </c>
      <c r="J34" s="7">
        <v>98</v>
      </c>
      <c r="K34" s="7">
        <v>102.9</v>
      </c>
      <c r="L34" s="7">
        <v>1595.1</v>
      </c>
    </row>
    <row r="35" spans="1:12" ht="14.25" x14ac:dyDescent="0.15">
      <c r="A35" s="7" t="s">
        <v>106</v>
      </c>
      <c r="B35" s="7" t="s">
        <v>107</v>
      </c>
      <c r="C35" s="7" t="s">
        <v>61</v>
      </c>
      <c r="D35" s="7">
        <v>1500</v>
      </c>
      <c r="E35" s="7">
        <v>21</v>
      </c>
      <c r="F35" s="7">
        <v>1500</v>
      </c>
      <c r="G35" s="7">
        <v>170</v>
      </c>
      <c r="H35" s="7">
        <v>32</v>
      </c>
      <c r="I35" s="7">
        <v>1702</v>
      </c>
      <c r="J35" s="7">
        <v>97</v>
      </c>
      <c r="K35" s="7">
        <v>102.1</v>
      </c>
      <c r="L35" s="7">
        <v>1599.9</v>
      </c>
    </row>
    <row r="36" spans="1:12" ht="14.25" x14ac:dyDescent="0.15">
      <c r="A36" s="7" t="s">
        <v>108</v>
      </c>
      <c r="B36" s="7" t="s">
        <v>109</v>
      </c>
      <c r="C36" s="7" t="s">
        <v>61</v>
      </c>
      <c r="D36" s="7">
        <v>1500</v>
      </c>
      <c r="E36" s="7">
        <v>21</v>
      </c>
      <c r="F36" s="7">
        <v>1500</v>
      </c>
      <c r="G36" s="7">
        <v>175</v>
      </c>
      <c r="H36" s="7">
        <v>31</v>
      </c>
      <c r="I36" s="7">
        <v>1706</v>
      </c>
      <c r="J36" s="7">
        <v>96</v>
      </c>
      <c r="K36" s="7">
        <v>101.3</v>
      </c>
      <c r="L36" s="7">
        <v>1604.7</v>
      </c>
    </row>
    <row r="37" spans="1:12" ht="14.25" x14ac:dyDescent="0.15">
      <c r="A37" s="7" t="s">
        <v>110</v>
      </c>
      <c r="B37" s="7" t="s">
        <v>111</v>
      </c>
      <c r="C37" s="7" t="s">
        <v>112</v>
      </c>
      <c r="D37" s="7">
        <v>800</v>
      </c>
      <c r="E37" s="7">
        <v>21</v>
      </c>
      <c r="F37" s="7">
        <v>800</v>
      </c>
      <c r="G37" s="7">
        <v>180</v>
      </c>
      <c r="H37" s="7">
        <v>30</v>
      </c>
      <c r="I37" s="7">
        <v>1010</v>
      </c>
      <c r="J37" s="7">
        <v>95</v>
      </c>
      <c r="K37" s="7">
        <v>95</v>
      </c>
      <c r="L37" s="7">
        <v>915</v>
      </c>
    </row>
    <row r="38" spans="1:12" ht="14.25" x14ac:dyDescent="0.15">
      <c r="A38" s="7" t="s">
        <v>113</v>
      </c>
      <c r="B38" s="7" t="s">
        <v>114</v>
      </c>
      <c r="C38" s="7" t="s">
        <v>112</v>
      </c>
      <c r="D38" s="7">
        <v>800</v>
      </c>
      <c r="E38" s="7">
        <v>21</v>
      </c>
      <c r="F38" s="7">
        <v>800</v>
      </c>
      <c r="G38" s="7">
        <v>185</v>
      </c>
      <c r="H38" s="7">
        <v>29</v>
      </c>
      <c r="I38" s="7">
        <v>1014</v>
      </c>
      <c r="J38" s="7">
        <v>94</v>
      </c>
      <c r="K38" s="7">
        <v>94</v>
      </c>
      <c r="L38" s="7">
        <v>920</v>
      </c>
    </row>
    <row r="39" spans="1:12" ht="14.25" x14ac:dyDescent="0.15">
      <c r="A39" s="7" t="s">
        <v>115</v>
      </c>
      <c r="B39" s="7" t="s">
        <v>116</v>
      </c>
      <c r="C39" s="7" t="s">
        <v>112</v>
      </c>
      <c r="D39" s="7">
        <v>800</v>
      </c>
      <c r="E39" s="7">
        <v>21</v>
      </c>
      <c r="F39" s="7">
        <v>800</v>
      </c>
      <c r="G39" s="7">
        <v>190</v>
      </c>
      <c r="H39" s="7">
        <v>28</v>
      </c>
      <c r="I39" s="7">
        <v>1018</v>
      </c>
      <c r="J39" s="7">
        <v>93</v>
      </c>
      <c r="K39" s="7">
        <v>93</v>
      </c>
      <c r="L39" s="7">
        <v>925</v>
      </c>
    </row>
    <row r="40" spans="1:12" ht="14.25" x14ac:dyDescent="0.15">
      <c r="A40" s="7" t="s">
        <v>117</v>
      </c>
      <c r="B40" s="7" t="s">
        <v>118</v>
      </c>
      <c r="C40" s="7" t="s">
        <v>112</v>
      </c>
      <c r="D40" s="7">
        <v>800</v>
      </c>
      <c r="E40" s="7">
        <v>21</v>
      </c>
      <c r="F40" s="7">
        <v>800</v>
      </c>
      <c r="G40" s="7">
        <v>195</v>
      </c>
      <c r="H40" s="7">
        <v>27</v>
      </c>
      <c r="I40" s="7">
        <v>1022</v>
      </c>
      <c r="J40" s="7">
        <v>92</v>
      </c>
      <c r="K40" s="7">
        <v>92</v>
      </c>
      <c r="L40" s="7">
        <v>930</v>
      </c>
    </row>
    <row r="41" spans="1:12" ht="14.25" x14ac:dyDescent="0.15">
      <c r="A41" s="7" t="s">
        <v>119</v>
      </c>
      <c r="B41" s="7" t="s">
        <v>120</v>
      </c>
      <c r="C41" s="7" t="s">
        <v>112</v>
      </c>
      <c r="D41" s="7">
        <v>800</v>
      </c>
      <c r="E41" s="7">
        <v>21</v>
      </c>
      <c r="F41" s="7">
        <v>800</v>
      </c>
      <c r="G41" s="7">
        <v>200</v>
      </c>
      <c r="H41" s="7">
        <v>26</v>
      </c>
      <c r="I41" s="7">
        <v>1026</v>
      </c>
      <c r="J41" s="7">
        <v>91</v>
      </c>
      <c r="K41" s="7">
        <v>91</v>
      </c>
      <c r="L41" s="7">
        <v>935</v>
      </c>
    </row>
    <row r="42" spans="1:12" ht="14.25" x14ac:dyDescent="0.15">
      <c r="A42" s="7" t="s">
        <v>121</v>
      </c>
      <c r="B42" s="7" t="s">
        <v>122</v>
      </c>
      <c r="C42" s="7" t="s">
        <v>112</v>
      </c>
      <c r="D42" s="7">
        <v>800</v>
      </c>
      <c r="E42" s="7">
        <v>21</v>
      </c>
      <c r="F42" s="7">
        <v>800</v>
      </c>
      <c r="G42" s="7">
        <v>205</v>
      </c>
      <c r="H42" s="7">
        <v>25</v>
      </c>
      <c r="I42" s="7">
        <v>1030</v>
      </c>
      <c r="J42" s="7">
        <v>90</v>
      </c>
      <c r="K42" s="7">
        <v>90</v>
      </c>
      <c r="L42" s="7">
        <v>940</v>
      </c>
    </row>
    <row r="43" spans="1:12" ht="14.25" x14ac:dyDescent="0.15">
      <c r="A43" s="7" t="s">
        <v>123</v>
      </c>
      <c r="B43" s="7" t="s">
        <v>124</v>
      </c>
      <c r="C43" s="7" t="s">
        <v>112</v>
      </c>
      <c r="D43" s="7">
        <v>800</v>
      </c>
      <c r="E43" s="7">
        <v>21</v>
      </c>
      <c r="F43" s="7">
        <v>800</v>
      </c>
      <c r="G43" s="7">
        <v>210</v>
      </c>
      <c r="H43" s="7">
        <v>24</v>
      </c>
      <c r="I43" s="7">
        <v>1034</v>
      </c>
      <c r="J43" s="7">
        <v>89</v>
      </c>
      <c r="K43" s="7">
        <v>89</v>
      </c>
      <c r="L43" s="7">
        <v>945</v>
      </c>
    </row>
    <row r="44" spans="1:12" ht="14.25" x14ac:dyDescent="0.15">
      <c r="A44" s="7" t="s">
        <v>125</v>
      </c>
      <c r="B44" s="7" t="s">
        <v>126</v>
      </c>
      <c r="C44" s="7" t="s">
        <v>112</v>
      </c>
      <c r="D44" s="7">
        <v>800</v>
      </c>
      <c r="E44" s="7">
        <v>21</v>
      </c>
      <c r="F44" s="7">
        <v>800</v>
      </c>
      <c r="G44" s="7">
        <v>215</v>
      </c>
      <c r="H44" s="7">
        <v>23</v>
      </c>
      <c r="I44" s="7">
        <v>1038</v>
      </c>
      <c r="J44" s="7">
        <v>88</v>
      </c>
      <c r="K44" s="7">
        <v>88</v>
      </c>
      <c r="L44" s="7">
        <v>950</v>
      </c>
    </row>
    <row r="45" spans="1:12" ht="14.25" x14ac:dyDescent="0.15">
      <c r="A45" s="7" t="s">
        <v>127</v>
      </c>
      <c r="B45" s="7" t="s">
        <v>128</v>
      </c>
      <c r="C45" s="7" t="s">
        <v>112</v>
      </c>
      <c r="D45" s="7">
        <v>800</v>
      </c>
      <c r="E45" s="7">
        <v>21</v>
      </c>
      <c r="F45" s="7">
        <v>800</v>
      </c>
      <c r="G45" s="7">
        <v>220</v>
      </c>
      <c r="H45" s="7">
        <v>22</v>
      </c>
      <c r="I45" s="7">
        <v>1042</v>
      </c>
      <c r="J45" s="7">
        <v>87</v>
      </c>
      <c r="K45" s="7">
        <v>87</v>
      </c>
      <c r="L45" s="7">
        <v>955</v>
      </c>
    </row>
    <row r="46" spans="1:12" ht="14.25" x14ac:dyDescent="0.15">
      <c r="A46" s="7" t="s">
        <v>129</v>
      </c>
      <c r="B46" s="7" t="s">
        <v>130</v>
      </c>
      <c r="C46" s="7" t="s">
        <v>112</v>
      </c>
      <c r="D46" s="7">
        <v>800</v>
      </c>
      <c r="E46" s="7">
        <v>21</v>
      </c>
      <c r="F46" s="7">
        <v>800</v>
      </c>
      <c r="G46" s="7">
        <v>225</v>
      </c>
      <c r="H46" s="7">
        <v>21</v>
      </c>
      <c r="I46" s="7">
        <v>1046</v>
      </c>
      <c r="J46" s="7">
        <v>86</v>
      </c>
      <c r="K46" s="7">
        <v>86</v>
      </c>
      <c r="L46" s="7">
        <v>960</v>
      </c>
    </row>
    <row r="47" spans="1:12" ht="14.25" x14ac:dyDescent="0.15">
      <c r="A47" s="7" t="s">
        <v>131</v>
      </c>
      <c r="B47" s="7" t="s">
        <v>132</v>
      </c>
      <c r="C47" s="7" t="s">
        <v>112</v>
      </c>
      <c r="D47" s="7">
        <v>800</v>
      </c>
      <c r="E47" s="7">
        <v>21</v>
      </c>
      <c r="F47" s="7">
        <v>800</v>
      </c>
      <c r="G47" s="7">
        <v>230</v>
      </c>
      <c r="H47" s="7">
        <v>20</v>
      </c>
      <c r="I47" s="7">
        <v>1050</v>
      </c>
      <c r="J47" s="7">
        <v>85</v>
      </c>
      <c r="K47" s="7">
        <v>85</v>
      </c>
      <c r="L47" s="7">
        <v>965</v>
      </c>
    </row>
    <row r="48" spans="1:12" ht="14.25" x14ac:dyDescent="0.15">
      <c r="A48" s="7" t="s">
        <v>133</v>
      </c>
      <c r="B48" s="7" t="s">
        <v>134</v>
      </c>
      <c r="C48" s="7" t="s">
        <v>112</v>
      </c>
      <c r="D48" s="7">
        <v>800</v>
      </c>
      <c r="E48" s="7">
        <v>21</v>
      </c>
      <c r="F48" s="7">
        <v>800</v>
      </c>
      <c r="G48" s="7">
        <v>235</v>
      </c>
      <c r="H48" s="7">
        <v>19</v>
      </c>
      <c r="I48" s="7">
        <v>1054</v>
      </c>
      <c r="J48" s="7">
        <v>84</v>
      </c>
      <c r="K48" s="7">
        <v>84</v>
      </c>
      <c r="L48" s="7">
        <v>970</v>
      </c>
    </row>
    <row r="49" spans="1:12" ht="14.25" x14ac:dyDescent="0.15">
      <c r="A49" s="7" t="s">
        <v>135</v>
      </c>
      <c r="B49" s="7" t="s">
        <v>136</v>
      </c>
      <c r="C49" s="7" t="s">
        <v>112</v>
      </c>
      <c r="D49" s="7">
        <v>800</v>
      </c>
      <c r="E49" s="7">
        <v>21</v>
      </c>
      <c r="F49" s="7">
        <v>800</v>
      </c>
      <c r="G49" s="7">
        <v>240</v>
      </c>
      <c r="H49" s="7">
        <v>18</v>
      </c>
      <c r="I49" s="7">
        <v>1058</v>
      </c>
      <c r="J49" s="7">
        <v>83</v>
      </c>
      <c r="K49" s="7">
        <v>83</v>
      </c>
      <c r="L49" s="7">
        <v>975</v>
      </c>
    </row>
    <row r="50" spans="1:12" ht="14.25" x14ac:dyDescent="0.15">
      <c r="A50" s="7" t="s">
        <v>137</v>
      </c>
      <c r="B50" s="7" t="s">
        <v>138</v>
      </c>
      <c r="C50" s="7" t="s">
        <v>112</v>
      </c>
      <c r="D50" s="7">
        <v>800</v>
      </c>
      <c r="E50" s="7">
        <v>21</v>
      </c>
      <c r="F50" s="7">
        <v>800</v>
      </c>
      <c r="G50" s="7">
        <v>245</v>
      </c>
      <c r="H50" s="7">
        <v>17</v>
      </c>
      <c r="I50" s="7">
        <v>1062</v>
      </c>
      <c r="J50" s="7">
        <v>82</v>
      </c>
      <c r="K50" s="7">
        <v>82</v>
      </c>
      <c r="L50" s="7">
        <v>980</v>
      </c>
    </row>
    <row r="51" spans="1:12" ht="14.25" x14ac:dyDescent="0.15">
      <c r="A51" s="7" t="s">
        <v>139</v>
      </c>
      <c r="B51" s="7" t="s">
        <v>140</v>
      </c>
      <c r="C51" s="7" t="s">
        <v>112</v>
      </c>
      <c r="D51" s="7">
        <v>800</v>
      </c>
      <c r="E51" s="7">
        <v>21</v>
      </c>
      <c r="F51" s="7">
        <v>800</v>
      </c>
      <c r="G51" s="7">
        <v>250</v>
      </c>
      <c r="H51" s="7">
        <v>16</v>
      </c>
      <c r="I51" s="7">
        <v>1066</v>
      </c>
      <c r="J51" s="7">
        <v>81</v>
      </c>
      <c r="K51" s="7">
        <v>81</v>
      </c>
      <c r="L51" s="7">
        <v>985</v>
      </c>
    </row>
    <row r="52" spans="1:12" ht="14.25" x14ac:dyDescent="0.15">
      <c r="A52" s="7" t="s">
        <v>141</v>
      </c>
      <c r="B52" s="7" t="s">
        <v>142</v>
      </c>
      <c r="C52" s="7" t="s">
        <v>112</v>
      </c>
      <c r="D52" s="7">
        <v>800</v>
      </c>
      <c r="E52" s="7">
        <v>21</v>
      </c>
      <c r="F52" s="7">
        <v>800</v>
      </c>
      <c r="G52" s="7">
        <v>255</v>
      </c>
      <c r="H52" s="7">
        <v>15</v>
      </c>
      <c r="I52" s="7">
        <v>1070</v>
      </c>
      <c r="J52" s="7">
        <v>80</v>
      </c>
      <c r="K52" s="7">
        <v>80</v>
      </c>
      <c r="L52" s="7">
        <v>990</v>
      </c>
    </row>
    <row r="53" spans="1:12" ht="14.25" x14ac:dyDescent="0.15">
      <c r="A53" s="7" t="s">
        <v>143</v>
      </c>
      <c r="B53" s="7" t="s">
        <v>144</v>
      </c>
      <c r="C53" s="7" t="s">
        <v>112</v>
      </c>
      <c r="D53" s="7">
        <v>800</v>
      </c>
      <c r="E53" s="7">
        <v>21</v>
      </c>
      <c r="F53" s="7">
        <v>800</v>
      </c>
      <c r="G53" s="7">
        <v>260</v>
      </c>
      <c r="H53" s="7">
        <v>14</v>
      </c>
      <c r="I53" s="7">
        <v>1074</v>
      </c>
      <c r="J53" s="7">
        <v>79</v>
      </c>
      <c r="K53" s="7">
        <v>79</v>
      </c>
      <c r="L53" s="7">
        <v>995</v>
      </c>
    </row>
    <row r="54" spans="1:12" ht="14.25" x14ac:dyDescent="0.15">
      <c r="A54" s="7" t="s">
        <v>145</v>
      </c>
      <c r="B54" s="7" t="s">
        <v>146</v>
      </c>
      <c r="C54" s="7" t="s">
        <v>112</v>
      </c>
      <c r="D54" s="7">
        <v>800</v>
      </c>
      <c r="E54" s="7">
        <v>21</v>
      </c>
      <c r="F54" s="7">
        <v>800</v>
      </c>
      <c r="G54" s="7">
        <v>265</v>
      </c>
      <c r="H54" s="7">
        <v>13</v>
      </c>
      <c r="I54" s="7">
        <v>1078</v>
      </c>
      <c r="J54" s="7">
        <v>78</v>
      </c>
      <c r="K54" s="7">
        <v>78</v>
      </c>
      <c r="L54" s="7">
        <v>1000</v>
      </c>
    </row>
    <row r="55" spans="1:12" ht="14.25" x14ac:dyDescent="0.15">
      <c r="A55" s="7" t="s">
        <v>147</v>
      </c>
      <c r="B55" s="7" t="s">
        <v>148</v>
      </c>
      <c r="C55" s="7" t="s">
        <v>112</v>
      </c>
      <c r="D55" s="7">
        <v>800</v>
      </c>
      <c r="E55" s="7">
        <v>21</v>
      </c>
      <c r="F55" s="7">
        <v>800</v>
      </c>
      <c r="G55" s="7">
        <v>270</v>
      </c>
      <c r="H55" s="7">
        <v>12</v>
      </c>
      <c r="I55" s="7">
        <v>1082</v>
      </c>
      <c r="J55" s="7">
        <v>77</v>
      </c>
      <c r="K55" s="7">
        <v>77</v>
      </c>
      <c r="L55" s="7">
        <v>1005</v>
      </c>
    </row>
    <row r="56" spans="1:12" ht="14.25" x14ac:dyDescent="0.15">
      <c r="A56" s="7" t="s">
        <v>149</v>
      </c>
      <c r="B56" s="7" t="s">
        <v>150</v>
      </c>
      <c r="C56" s="7" t="s">
        <v>112</v>
      </c>
      <c r="D56" s="7">
        <v>800</v>
      </c>
      <c r="E56" s="7">
        <v>21</v>
      </c>
      <c r="F56" s="7">
        <v>800</v>
      </c>
      <c r="G56" s="7">
        <v>275</v>
      </c>
      <c r="H56" s="7">
        <v>11</v>
      </c>
      <c r="I56" s="7">
        <v>1086</v>
      </c>
      <c r="J56" s="7">
        <v>76</v>
      </c>
      <c r="K56" s="7">
        <v>76</v>
      </c>
      <c r="L56" s="7">
        <v>1010</v>
      </c>
    </row>
    <row r="57" spans="1:12" ht="14.25" x14ac:dyDescent="0.15">
      <c r="A57" s="7" t="s">
        <v>151</v>
      </c>
      <c r="B57" s="7" t="s">
        <v>152</v>
      </c>
      <c r="C57" s="7" t="s">
        <v>112</v>
      </c>
      <c r="D57" s="7">
        <v>800</v>
      </c>
      <c r="E57" s="7">
        <v>21</v>
      </c>
      <c r="F57" s="7">
        <v>800</v>
      </c>
      <c r="G57" s="7">
        <v>280</v>
      </c>
      <c r="H57" s="7">
        <v>10</v>
      </c>
      <c r="I57" s="7">
        <v>1090</v>
      </c>
      <c r="J57" s="7">
        <v>75</v>
      </c>
      <c r="K57" s="7">
        <v>75</v>
      </c>
      <c r="L57" s="7">
        <v>1015</v>
      </c>
    </row>
    <row r="58" spans="1:12" ht="14.25" x14ac:dyDescent="0.15">
      <c r="A58" s="7" t="s">
        <v>153</v>
      </c>
      <c r="B58" s="7" t="s">
        <v>154</v>
      </c>
      <c r="C58" s="7" t="s">
        <v>112</v>
      </c>
      <c r="D58" s="7">
        <v>800</v>
      </c>
      <c r="E58" s="7">
        <v>21</v>
      </c>
      <c r="F58" s="7">
        <v>800</v>
      </c>
      <c r="G58" s="7">
        <v>285</v>
      </c>
      <c r="H58" s="7">
        <v>9</v>
      </c>
      <c r="I58" s="7">
        <v>1094</v>
      </c>
      <c r="J58" s="7">
        <v>74</v>
      </c>
      <c r="K58" s="7">
        <v>74</v>
      </c>
      <c r="L58" s="7">
        <v>1020</v>
      </c>
    </row>
    <row r="59" spans="1:12" ht="14.25" x14ac:dyDescent="0.15">
      <c r="A59" s="7" t="s">
        <v>155</v>
      </c>
      <c r="B59" s="7" t="s">
        <v>156</v>
      </c>
      <c r="C59" s="7" t="s">
        <v>112</v>
      </c>
      <c r="D59" s="7">
        <v>800</v>
      </c>
      <c r="E59" s="7">
        <v>21</v>
      </c>
      <c r="F59" s="7">
        <v>800</v>
      </c>
      <c r="G59" s="7">
        <v>290</v>
      </c>
      <c r="H59" s="7">
        <v>8</v>
      </c>
      <c r="I59" s="7">
        <v>1098</v>
      </c>
      <c r="J59" s="7">
        <v>73</v>
      </c>
      <c r="K59" s="7">
        <v>73</v>
      </c>
      <c r="L59" s="7">
        <v>1025</v>
      </c>
    </row>
    <row r="60" spans="1:12" ht="14.25" x14ac:dyDescent="0.15">
      <c r="A60" s="7" t="s">
        <v>157</v>
      </c>
      <c r="B60" s="7" t="s">
        <v>158</v>
      </c>
      <c r="C60" s="7" t="s">
        <v>112</v>
      </c>
      <c r="D60" s="7">
        <v>800</v>
      </c>
      <c r="E60" s="7">
        <v>21</v>
      </c>
      <c r="F60" s="7">
        <v>800</v>
      </c>
      <c r="G60" s="7">
        <v>295</v>
      </c>
      <c r="H60" s="7">
        <v>7</v>
      </c>
      <c r="I60" s="7">
        <v>1102</v>
      </c>
      <c r="J60" s="7">
        <v>72</v>
      </c>
      <c r="K60" s="7">
        <v>72</v>
      </c>
      <c r="L60" s="7">
        <v>1030</v>
      </c>
    </row>
    <row r="61" spans="1:12" ht="14.25" x14ac:dyDescent="0.15">
      <c r="A61" s="7" t="s">
        <v>159</v>
      </c>
      <c r="B61" s="7" t="s">
        <v>160</v>
      </c>
      <c r="C61" s="7" t="s">
        <v>112</v>
      </c>
      <c r="D61" s="7">
        <v>800</v>
      </c>
      <c r="E61" s="7">
        <v>21</v>
      </c>
      <c r="F61" s="7">
        <v>800</v>
      </c>
      <c r="G61" s="7">
        <v>300</v>
      </c>
      <c r="H61" s="7">
        <v>6</v>
      </c>
      <c r="I61" s="7">
        <v>1106</v>
      </c>
      <c r="J61" s="7">
        <v>71</v>
      </c>
      <c r="K61" s="7">
        <v>71</v>
      </c>
      <c r="L61" s="7">
        <v>1035</v>
      </c>
    </row>
    <row r="62" spans="1:12" ht="14.25" x14ac:dyDescent="0.15">
      <c r="A62" s="7" t="s">
        <v>161</v>
      </c>
      <c r="B62" s="7" t="s">
        <v>162</v>
      </c>
      <c r="C62" s="7" t="s">
        <v>112</v>
      </c>
      <c r="D62" s="7">
        <v>800</v>
      </c>
      <c r="E62" s="7">
        <v>21</v>
      </c>
      <c r="F62" s="7">
        <v>800</v>
      </c>
      <c r="G62" s="7">
        <v>305</v>
      </c>
      <c r="H62" s="7">
        <v>5</v>
      </c>
      <c r="I62" s="7">
        <v>1110</v>
      </c>
      <c r="J62" s="7">
        <v>70</v>
      </c>
      <c r="K62" s="7">
        <v>70</v>
      </c>
      <c r="L62" s="7">
        <v>1040</v>
      </c>
    </row>
    <row r="63" spans="1:12" ht="14.25" x14ac:dyDescent="0.15">
      <c r="A63" s="7" t="s">
        <v>163</v>
      </c>
      <c r="B63" s="7" t="s">
        <v>164</v>
      </c>
      <c r="C63" s="7" t="s">
        <v>112</v>
      </c>
      <c r="D63" s="7">
        <v>800</v>
      </c>
      <c r="E63" s="7">
        <v>21</v>
      </c>
      <c r="F63" s="7">
        <v>800</v>
      </c>
      <c r="G63" s="7">
        <v>310</v>
      </c>
      <c r="H63" s="7">
        <v>4</v>
      </c>
      <c r="I63" s="7">
        <v>1114</v>
      </c>
      <c r="J63" s="7">
        <v>69</v>
      </c>
      <c r="K63" s="7">
        <v>69</v>
      </c>
      <c r="L63" s="7">
        <v>1045</v>
      </c>
    </row>
    <row r="64" spans="1:12" ht="14.25" x14ac:dyDescent="0.15">
      <c r="A64" s="7" t="s">
        <v>165</v>
      </c>
      <c r="B64" s="7" t="s">
        <v>166</v>
      </c>
      <c r="C64" s="7" t="s">
        <v>112</v>
      </c>
      <c r="D64" s="7">
        <v>800</v>
      </c>
      <c r="E64" s="7">
        <v>21</v>
      </c>
      <c r="F64" s="7">
        <v>800</v>
      </c>
      <c r="G64" s="7">
        <v>315</v>
      </c>
      <c r="H64" s="7">
        <v>3</v>
      </c>
      <c r="I64" s="7">
        <v>1118</v>
      </c>
      <c r="J64" s="7">
        <v>68</v>
      </c>
      <c r="K64" s="7">
        <v>68</v>
      </c>
      <c r="L64" s="7">
        <v>1050</v>
      </c>
    </row>
    <row r="65" spans="1:12" ht="14.25" x14ac:dyDescent="0.15">
      <c r="A65" s="7" t="s">
        <v>167</v>
      </c>
      <c r="B65" s="7" t="s">
        <v>168</v>
      </c>
      <c r="C65" s="7" t="s">
        <v>112</v>
      </c>
      <c r="D65" s="7">
        <v>800</v>
      </c>
      <c r="E65" s="7">
        <v>21</v>
      </c>
      <c r="F65" s="7">
        <v>800</v>
      </c>
      <c r="G65" s="7">
        <v>320</v>
      </c>
      <c r="H65" s="7">
        <v>2</v>
      </c>
      <c r="I65" s="7">
        <v>1122</v>
      </c>
      <c r="J65" s="7">
        <v>67</v>
      </c>
      <c r="K65" s="7">
        <v>67</v>
      </c>
      <c r="L65" s="7">
        <v>1055</v>
      </c>
    </row>
    <row r="66" spans="1:12" ht="14.25" x14ac:dyDescent="0.15">
      <c r="A66" s="7" t="s">
        <v>169</v>
      </c>
      <c r="B66" s="7" t="s">
        <v>170</v>
      </c>
      <c r="C66" s="7" t="s">
        <v>112</v>
      </c>
      <c r="D66" s="7">
        <v>800</v>
      </c>
      <c r="E66" s="7">
        <v>21</v>
      </c>
      <c r="F66" s="7">
        <v>800</v>
      </c>
      <c r="G66" s="7">
        <v>325</v>
      </c>
      <c r="H66" s="7">
        <v>1</v>
      </c>
      <c r="I66" s="7">
        <v>1126</v>
      </c>
      <c r="J66" s="7">
        <v>66</v>
      </c>
      <c r="K66" s="7">
        <v>66</v>
      </c>
      <c r="L66" s="7">
        <v>1060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"/>
  <sheetViews>
    <sheetView workbookViewId="0">
      <selection activeCell="H34" sqref="H34"/>
    </sheetView>
  </sheetViews>
  <sheetFormatPr defaultColWidth="9" defaultRowHeight="16.5" x14ac:dyDescent="0.35"/>
  <cols>
    <col min="1" max="2" width="8" style="2" bestFit="1" customWidth="1"/>
    <col min="3" max="3" width="6.375" style="2" bestFit="1" customWidth="1"/>
    <col min="4" max="5" width="9" style="2"/>
    <col min="6" max="12" width="8" style="2" bestFit="1" customWidth="1"/>
    <col min="13" max="16384" width="9" style="2"/>
  </cols>
  <sheetData>
    <row r="1" spans="1:12" x14ac:dyDescent="0.3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</row>
    <row r="2" spans="1:12" x14ac:dyDescent="0.35">
      <c r="A2" s="7" t="s">
        <v>37</v>
      </c>
      <c r="B2" s="7" t="s">
        <v>38</v>
      </c>
      <c r="C2" s="7" t="s">
        <v>39</v>
      </c>
      <c r="D2" s="7">
        <v>3000</v>
      </c>
      <c r="E2" s="7">
        <v>21</v>
      </c>
      <c r="F2" s="7">
        <v>3000</v>
      </c>
      <c r="G2" s="7">
        <v>5</v>
      </c>
      <c r="H2" s="7">
        <v>65</v>
      </c>
      <c r="I2" s="7">
        <v>3070</v>
      </c>
      <c r="J2" s="7">
        <v>130</v>
      </c>
      <c r="K2" s="7">
        <v>277</v>
      </c>
      <c r="L2" s="7">
        <v>2793</v>
      </c>
    </row>
    <row r="3" spans="1:12" ht="9.9499999999999993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5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</row>
    <row r="5" spans="1:12" x14ac:dyDescent="0.35">
      <c r="A5" s="7" t="s">
        <v>40</v>
      </c>
      <c r="B5" s="7" t="s">
        <v>41</v>
      </c>
      <c r="C5" s="7" t="s">
        <v>42</v>
      </c>
      <c r="D5" s="7">
        <v>1200</v>
      </c>
      <c r="E5" s="7">
        <v>21</v>
      </c>
      <c r="F5" s="7">
        <v>1200</v>
      </c>
      <c r="G5" s="7">
        <v>10</v>
      </c>
      <c r="H5" s="7">
        <v>64</v>
      </c>
      <c r="I5" s="7">
        <v>1274</v>
      </c>
      <c r="J5" s="7">
        <v>129</v>
      </c>
      <c r="K5" s="7">
        <v>129</v>
      </c>
      <c r="L5" s="7">
        <v>1145</v>
      </c>
    </row>
    <row r="6" spans="1:12" ht="9.9499999999999993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7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7" t="s">
        <v>31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</row>
    <row r="8" spans="1:12" x14ac:dyDescent="0.35">
      <c r="A8" s="7" t="s">
        <v>43</v>
      </c>
      <c r="B8" s="7" t="s">
        <v>44</v>
      </c>
      <c r="C8" s="7" t="s">
        <v>42</v>
      </c>
      <c r="D8" s="7">
        <v>1200</v>
      </c>
      <c r="E8" s="7">
        <v>21</v>
      </c>
      <c r="F8" s="7">
        <v>1200</v>
      </c>
      <c r="G8" s="7">
        <v>15</v>
      </c>
      <c r="H8" s="7">
        <v>63</v>
      </c>
      <c r="I8" s="7">
        <v>1278</v>
      </c>
      <c r="J8" s="7">
        <v>128</v>
      </c>
      <c r="K8" s="7">
        <v>128</v>
      </c>
      <c r="L8" s="7">
        <v>1150</v>
      </c>
    </row>
    <row r="9" spans="1:12" ht="9.9499999999999993" customHeigh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35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 t="s">
        <v>36</v>
      </c>
    </row>
    <row r="11" spans="1:12" x14ac:dyDescent="0.35">
      <c r="A11" s="7" t="s">
        <v>45</v>
      </c>
      <c r="B11" s="7" t="s">
        <v>171</v>
      </c>
      <c r="C11" s="7" t="s">
        <v>42</v>
      </c>
      <c r="D11" s="7">
        <v>1200</v>
      </c>
      <c r="E11" s="7">
        <v>21</v>
      </c>
      <c r="F11" s="7">
        <v>1200</v>
      </c>
      <c r="G11" s="7">
        <v>20</v>
      </c>
      <c r="H11" s="7">
        <v>62</v>
      </c>
      <c r="I11" s="7">
        <v>1282</v>
      </c>
      <c r="J11" s="7">
        <v>127</v>
      </c>
      <c r="K11" s="7">
        <v>127</v>
      </c>
      <c r="L11" s="7">
        <v>1155</v>
      </c>
    </row>
    <row r="12" spans="1:12" ht="9.9499999999999993" customHeight="1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35">
      <c r="A13" s="7" t="s">
        <v>25</v>
      </c>
      <c r="B13" s="7" t="s">
        <v>26</v>
      </c>
      <c r="C13" s="7" t="s">
        <v>27</v>
      </c>
      <c r="D13" s="7" t="s">
        <v>28</v>
      </c>
      <c r="E13" s="7" t="s">
        <v>29</v>
      </c>
      <c r="F13" s="7" t="s">
        <v>30</v>
      </c>
      <c r="G13" s="7" t="s">
        <v>31</v>
      </c>
      <c r="H13" s="7" t="s">
        <v>32</v>
      </c>
      <c r="I13" s="7" t="s">
        <v>33</v>
      </c>
      <c r="J13" s="7" t="s">
        <v>34</v>
      </c>
      <c r="K13" s="7" t="s">
        <v>35</v>
      </c>
      <c r="L13" s="7" t="s">
        <v>36</v>
      </c>
    </row>
    <row r="14" spans="1:12" x14ac:dyDescent="0.35">
      <c r="A14" s="7" t="s">
        <v>47</v>
      </c>
      <c r="B14" s="7" t="s">
        <v>48</v>
      </c>
      <c r="C14" s="7" t="s">
        <v>42</v>
      </c>
      <c r="D14" s="7">
        <v>1200</v>
      </c>
      <c r="E14" s="7">
        <v>21</v>
      </c>
      <c r="F14" s="7">
        <v>1200</v>
      </c>
      <c r="G14" s="7">
        <v>25</v>
      </c>
      <c r="H14" s="7">
        <v>61</v>
      </c>
      <c r="I14" s="7">
        <v>1286</v>
      </c>
      <c r="J14" s="7">
        <v>126</v>
      </c>
      <c r="K14" s="7">
        <v>126</v>
      </c>
      <c r="L14" s="7">
        <v>1160</v>
      </c>
    </row>
    <row r="15" spans="1:12" ht="9.9499999999999993" customHeight="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35">
      <c r="A16" s="7" t="s">
        <v>25</v>
      </c>
      <c r="B16" s="7" t="s">
        <v>26</v>
      </c>
      <c r="C16" s="7" t="s">
        <v>27</v>
      </c>
      <c r="D16" s="7" t="s">
        <v>28</v>
      </c>
      <c r="E16" s="7" t="s">
        <v>29</v>
      </c>
      <c r="F16" s="7" t="s">
        <v>30</v>
      </c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 t="s">
        <v>36</v>
      </c>
    </row>
    <row r="17" spans="1:12" x14ac:dyDescent="0.35">
      <c r="A17" s="7" t="s">
        <v>49</v>
      </c>
      <c r="B17" s="7" t="s">
        <v>50</v>
      </c>
      <c r="C17" s="7" t="s">
        <v>42</v>
      </c>
      <c r="D17" s="7">
        <v>1200</v>
      </c>
      <c r="E17" s="7">
        <v>21</v>
      </c>
      <c r="F17" s="7">
        <v>1200</v>
      </c>
      <c r="G17" s="7">
        <v>30</v>
      </c>
      <c r="H17" s="7">
        <v>60</v>
      </c>
      <c r="I17" s="7">
        <v>1290</v>
      </c>
      <c r="J17" s="7">
        <v>125</v>
      </c>
      <c r="K17" s="7">
        <v>125</v>
      </c>
      <c r="L17" s="7">
        <v>1165</v>
      </c>
    </row>
    <row r="18" spans="1:12" ht="9.9499999999999993" customHeight="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5">
      <c r="A19" s="7" t="s">
        <v>25</v>
      </c>
      <c r="B19" s="7" t="s">
        <v>26</v>
      </c>
      <c r="C19" s="7" t="s">
        <v>27</v>
      </c>
      <c r="D19" s="7" t="s">
        <v>28</v>
      </c>
      <c r="E19" s="7" t="s">
        <v>29</v>
      </c>
      <c r="F19" s="7" t="s">
        <v>30</v>
      </c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 t="s">
        <v>36</v>
      </c>
    </row>
    <row r="20" spans="1:12" x14ac:dyDescent="0.35">
      <c r="A20" s="7" t="s">
        <v>51</v>
      </c>
      <c r="B20" s="7" t="s">
        <v>52</v>
      </c>
      <c r="C20" s="7" t="s">
        <v>42</v>
      </c>
      <c r="D20" s="7">
        <v>1200</v>
      </c>
      <c r="E20" s="7">
        <v>21</v>
      </c>
      <c r="F20" s="7">
        <v>1200</v>
      </c>
      <c r="G20" s="7">
        <v>35</v>
      </c>
      <c r="H20" s="7">
        <v>59</v>
      </c>
      <c r="I20" s="7">
        <v>1294</v>
      </c>
      <c r="J20" s="7">
        <v>124</v>
      </c>
      <c r="K20" s="7">
        <v>124</v>
      </c>
      <c r="L20" s="7">
        <v>1170</v>
      </c>
    </row>
    <row r="21" spans="1:12" ht="9.9499999999999993" customHeight="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7" t="s">
        <v>25</v>
      </c>
      <c r="B22" s="7" t="s">
        <v>26</v>
      </c>
      <c r="C22" s="7" t="s">
        <v>27</v>
      </c>
      <c r="D22" s="7" t="s">
        <v>28</v>
      </c>
      <c r="E22" s="7" t="s">
        <v>29</v>
      </c>
      <c r="F22" s="7" t="s">
        <v>30</v>
      </c>
      <c r="G22" s="7" t="s">
        <v>31</v>
      </c>
      <c r="H22" s="7" t="s">
        <v>32</v>
      </c>
      <c r="I22" s="7" t="s">
        <v>33</v>
      </c>
      <c r="J22" s="7" t="s">
        <v>34</v>
      </c>
      <c r="K22" s="7" t="s">
        <v>35</v>
      </c>
      <c r="L22" s="7" t="s">
        <v>36</v>
      </c>
    </row>
    <row r="23" spans="1:12" x14ac:dyDescent="0.35">
      <c r="A23" s="7" t="s">
        <v>53</v>
      </c>
      <c r="B23" s="7" t="s">
        <v>54</v>
      </c>
      <c r="C23" s="7" t="s">
        <v>42</v>
      </c>
      <c r="D23" s="7">
        <v>1200</v>
      </c>
      <c r="E23" s="7">
        <v>21</v>
      </c>
      <c r="F23" s="7">
        <v>1200</v>
      </c>
      <c r="G23" s="7">
        <v>40</v>
      </c>
      <c r="H23" s="7">
        <v>58</v>
      </c>
      <c r="I23" s="7">
        <v>1298</v>
      </c>
      <c r="J23" s="7">
        <v>123</v>
      </c>
      <c r="K23" s="7">
        <v>123</v>
      </c>
      <c r="L23" s="7">
        <v>1175</v>
      </c>
    </row>
    <row r="24" spans="1:12" ht="9.9499999999999993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35">
      <c r="A25" s="7" t="s">
        <v>25</v>
      </c>
      <c r="B25" s="7" t="s">
        <v>26</v>
      </c>
      <c r="C25" s="7" t="s">
        <v>27</v>
      </c>
      <c r="D25" s="7" t="s">
        <v>28</v>
      </c>
      <c r="E25" s="7" t="s">
        <v>29</v>
      </c>
      <c r="F25" s="7" t="s">
        <v>30</v>
      </c>
      <c r="G25" s="7" t="s">
        <v>31</v>
      </c>
      <c r="H25" s="7" t="s">
        <v>32</v>
      </c>
      <c r="I25" s="7" t="s">
        <v>33</v>
      </c>
      <c r="J25" s="7" t="s">
        <v>34</v>
      </c>
      <c r="K25" s="7" t="s">
        <v>35</v>
      </c>
      <c r="L25" s="7" t="s">
        <v>36</v>
      </c>
    </row>
    <row r="26" spans="1:12" x14ac:dyDescent="0.35">
      <c r="A26" s="7" t="s">
        <v>55</v>
      </c>
      <c r="B26" s="7" t="s">
        <v>56</v>
      </c>
      <c r="C26" s="7" t="s">
        <v>42</v>
      </c>
      <c r="D26" s="7">
        <v>1200</v>
      </c>
      <c r="E26" s="7">
        <v>21</v>
      </c>
      <c r="F26" s="7">
        <v>1200</v>
      </c>
      <c r="G26" s="7">
        <v>45</v>
      </c>
      <c r="H26" s="7">
        <v>57</v>
      </c>
      <c r="I26" s="7">
        <v>1302</v>
      </c>
      <c r="J26" s="7">
        <v>122</v>
      </c>
      <c r="K26" s="7">
        <v>122</v>
      </c>
      <c r="L26" s="7">
        <v>1180</v>
      </c>
    </row>
    <row r="27" spans="1:12" ht="9.9499999999999993" customHeight="1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35">
      <c r="A28" s="7" t="s">
        <v>25</v>
      </c>
      <c r="B28" s="7" t="s">
        <v>26</v>
      </c>
      <c r="C28" s="7" t="s">
        <v>27</v>
      </c>
      <c r="D28" s="7" t="s">
        <v>28</v>
      </c>
      <c r="E28" s="7" t="s">
        <v>29</v>
      </c>
      <c r="F28" s="7" t="s">
        <v>30</v>
      </c>
      <c r="G28" s="7" t="s">
        <v>31</v>
      </c>
      <c r="H28" s="7" t="s">
        <v>32</v>
      </c>
      <c r="I28" s="7" t="s">
        <v>33</v>
      </c>
      <c r="J28" s="7" t="s">
        <v>34</v>
      </c>
      <c r="K28" s="7" t="s">
        <v>35</v>
      </c>
      <c r="L28" s="7" t="s">
        <v>36</v>
      </c>
    </row>
    <row r="29" spans="1:12" x14ac:dyDescent="0.35">
      <c r="A29" s="7" t="s">
        <v>57</v>
      </c>
      <c r="B29" s="7" t="s">
        <v>172</v>
      </c>
      <c r="C29" s="7" t="s">
        <v>42</v>
      </c>
      <c r="D29" s="7">
        <v>1200</v>
      </c>
      <c r="E29" s="7">
        <v>21</v>
      </c>
      <c r="F29" s="7">
        <v>1200</v>
      </c>
      <c r="G29" s="7">
        <v>50</v>
      </c>
      <c r="H29" s="7">
        <v>56</v>
      </c>
      <c r="I29" s="7">
        <v>1306</v>
      </c>
      <c r="J29" s="7">
        <v>121</v>
      </c>
      <c r="K29" s="7">
        <v>121</v>
      </c>
      <c r="L29" s="7">
        <v>1185</v>
      </c>
    </row>
    <row r="30" spans="1:12" ht="9.9499999999999993" customHeight="1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35">
      <c r="A31" s="7" t="s">
        <v>25</v>
      </c>
      <c r="B31" s="7" t="s">
        <v>26</v>
      </c>
      <c r="C31" s="7" t="s">
        <v>27</v>
      </c>
      <c r="D31" s="7" t="s">
        <v>28</v>
      </c>
      <c r="E31" s="7" t="s">
        <v>29</v>
      </c>
      <c r="F31" s="7" t="s">
        <v>30</v>
      </c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  <c r="L31" s="7" t="s">
        <v>36</v>
      </c>
    </row>
    <row r="32" spans="1:12" x14ac:dyDescent="0.35">
      <c r="A32" s="7" t="s">
        <v>59</v>
      </c>
      <c r="B32" s="7" t="s">
        <v>60</v>
      </c>
      <c r="C32" s="7" t="s">
        <v>61</v>
      </c>
      <c r="D32" s="7">
        <v>1500</v>
      </c>
      <c r="E32" s="7">
        <v>21</v>
      </c>
      <c r="F32" s="7">
        <v>1500</v>
      </c>
      <c r="G32" s="7">
        <v>55</v>
      </c>
      <c r="H32" s="7">
        <v>55</v>
      </c>
      <c r="I32" s="7">
        <v>1610</v>
      </c>
      <c r="J32" s="7">
        <v>120</v>
      </c>
      <c r="K32" s="7">
        <v>120.5</v>
      </c>
      <c r="L32" s="7">
        <v>1489.5</v>
      </c>
    </row>
    <row r="33" spans="1:12" ht="9.9499999999999993" customHeigh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35">
      <c r="A34" s="7" t="s">
        <v>25</v>
      </c>
      <c r="B34" s="7" t="s">
        <v>26</v>
      </c>
      <c r="C34" s="7" t="s">
        <v>27</v>
      </c>
      <c r="D34" s="7" t="s">
        <v>28</v>
      </c>
      <c r="E34" s="7" t="s">
        <v>29</v>
      </c>
      <c r="F34" s="7" t="s">
        <v>30</v>
      </c>
      <c r="G34" s="7" t="s">
        <v>31</v>
      </c>
      <c r="H34" s="7" t="s">
        <v>32</v>
      </c>
      <c r="I34" s="7" t="s">
        <v>33</v>
      </c>
      <c r="J34" s="7" t="s">
        <v>34</v>
      </c>
      <c r="K34" s="7" t="s">
        <v>35</v>
      </c>
      <c r="L34" s="7" t="s">
        <v>36</v>
      </c>
    </row>
    <row r="35" spans="1:12" x14ac:dyDescent="0.35">
      <c r="A35" s="7" t="s">
        <v>62</v>
      </c>
      <c r="B35" s="7" t="s">
        <v>63</v>
      </c>
      <c r="C35" s="7" t="s">
        <v>61</v>
      </c>
      <c r="D35" s="7">
        <v>1500</v>
      </c>
      <c r="E35" s="7">
        <v>21</v>
      </c>
      <c r="F35" s="7">
        <v>1500</v>
      </c>
      <c r="G35" s="7">
        <v>60</v>
      </c>
      <c r="H35" s="7">
        <v>54</v>
      </c>
      <c r="I35" s="7">
        <v>1614</v>
      </c>
      <c r="J35" s="7">
        <v>119</v>
      </c>
      <c r="K35" s="7">
        <v>119.7</v>
      </c>
      <c r="L35" s="7">
        <v>1494.3</v>
      </c>
    </row>
    <row r="36" spans="1:12" ht="9.9499999999999993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35">
      <c r="A37" s="7" t="s">
        <v>25</v>
      </c>
      <c r="B37" s="7" t="s">
        <v>26</v>
      </c>
      <c r="C37" s="7" t="s">
        <v>27</v>
      </c>
      <c r="D37" s="7" t="s">
        <v>28</v>
      </c>
      <c r="E37" s="7" t="s">
        <v>29</v>
      </c>
      <c r="F37" s="7" t="s">
        <v>30</v>
      </c>
      <c r="G37" s="7" t="s">
        <v>31</v>
      </c>
      <c r="H37" s="7" t="s">
        <v>32</v>
      </c>
      <c r="I37" s="7" t="s">
        <v>33</v>
      </c>
      <c r="J37" s="7" t="s">
        <v>34</v>
      </c>
      <c r="K37" s="7" t="s">
        <v>35</v>
      </c>
      <c r="L37" s="7" t="s">
        <v>36</v>
      </c>
    </row>
    <row r="38" spans="1:12" x14ac:dyDescent="0.35">
      <c r="A38" s="7" t="s">
        <v>64</v>
      </c>
      <c r="B38" s="7" t="s">
        <v>65</v>
      </c>
      <c r="C38" s="7" t="s">
        <v>61</v>
      </c>
      <c r="D38" s="7">
        <v>1500</v>
      </c>
      <c r="E38" s="7">
        <v>21</v>
      </c>
      <c r="F38" s="7">
        <v>1500</v>
      </c>
      <c r="G38" s="7">
        <v>65</v>
      </c>
      <c r="H38" s="7">
        <v>53</v>
      </c>
      <c r="I38" s="7">
        <v>1618</v>
      </c>
      <c r="J38" s="7">
        <v>118</v>
      </c>
      <c r="K38" s="7">
        <v>118.9</v>
      </c>
      <c r="L38" s="7">
        <v>1499.1</v>
      </c>
    </row>
    <row r="39" spans="1:12" ht="9.9499999999999993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35">
      <c r="A40" s="7" t="s">
        <v>25</v>
      </c>
      <c r="B40" s="7" t="s">
        <v>26</v>
      </c>
      <c r="C40" s="7" t="s">
        <v>27</v>
      </c>
      <c r="D40" s="7" t="s">
        <v>28</v>
      </c>
      <c r="E40" s="7" t="s">
        <v>29</v>
      </c>
      <c r="F40" s="7" t="s">
        <v>30</v>
      </c>
      <c r="G40" s="7" t="s">
        <v>31</v>
      </c>
      <c r="H40" s="7" t="s">
        <v>32</v>
      </c>
      <c r="I40" s="7" t="s">
        <v>33</v>
      </c>
      <c r="J40" s="7" t="s">
        <v>34</v>
      </c>
      <c r="K40" s="7" t="s">
        <v>35</v>
      </c>
      <c r="L40" s="7" t="s">
        <v>36</v>
      </c>
    </row>
    <row r="41" spans="1:12" x14ac:dyDescent="0.35">
      <c r="A41" s="7" t="s">
        <v>66</v>
      </c>
      <c r="B41" s="7" t="s">
        <v>67</v>
      </c>
      <c r="C41" s="7" t="s">
        <v>61</v>
      </c>
      <c r="D41" s="7">
        <v>1500</v>
      </c>
      <c r="E41" s="7">
        <v>21</v>
      </c>
      <c r="F41" s="7">
        <v>1500</v>
      </c>
      <c r="G41" s="7">
        <v>70</v>
      </c>
      <c r="H41" s="7">
        <v>52</v>
      </c>
      <c r="I41" s="7">
        <v>1622</v>
      </c>
      <c r="J41" s="7">
        <v>117</v>
      </c>
      <c r="K41" s="7">
        <v>118.1</v>
      </c>
      <c r="L41" s="7">
        <v>1503.9</v>
      </c>
    </row>
    <row r="42" spans="1:12" ht="9.9499999999999993" customHeigh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35">
      <c r="A43" s="7" t="s">
        <v>25</v>
      </c>
      <c r="B43" s="7" t="s">
        <v>26</v>
      </c>
      <c r="C43" s="7" t="s">
        <v>27</v>
      </c>
      <c r="D43" s="7" t="s">
        <v>28</v>
      </c>
      <c r="E43" s="7" t="s">
        <v>29</v>
      </c>
      <c r="F43" s="7" t="s">
        <v>30</v>
      </c>
      <c r="G43" s="7" t="s">
        <v>31</v>
      </c>
      <c r="H43" s="7" t="s">
        <v>32</v>
      </c>
      <c r="I43" s="7" t="s">
        <v>33</v>
      </c>
      <c r="J43" s="7" t="s">
        <v>34</v>
      </c>
      <c r="K43" s="7" t="s">
        <v>35</v>
      </c>
      <c r="L43" s="7" t="s">
        <v>36</v>
      </c>
    </row>
    <row r="44" spans="1:12" x14ac:dyDescent="0.35">
      <c r="A44" s="7" t="s">
        <v>68</v>
      </c>
      <c r="B44" s="7" t="s">
        <v>69</v>
      </c>
      <c r="C44" s="7" t="s">
        <v>61</v>
      </c>
      <c r="D44" s="7">
        <v>1500</v>
      </c>
      <c r="E44" s="7">
        <v>21</v>
      </c>
      <c r="F44" s="7">
        <v>1500</v>
      </c>
      <c r="G44" s="7">
        <v>75</v>
      </c>
      <c r="H44" s="7">
        <v>51</v>
      </c>
      <c r="I44" s="7">
        <v>1626</v>
      </c>
      <c r="J44" s="7">
        <v>116</v>
      </c>
      <c r="K44" s="7">
        <v>117.3</v>
      </c>
      <c r="L44" s="7">
        <v>1508.7</v>
      </c>
    </row>
    <row r="45" spans="1:12" ht="9.9499999999999993" customHeigh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35">
      <c r="A46" s="7" t="s">
        <v>25</v>
      </c>
      <c r="B46" s="7" t="s">
        <v>26</v>
      </c>
      <c r="C46" s="7" t="s">
        <v>27</v>
      </c>
      <c r="D46" s="7" t="s">
        <v>28</v>
      </c>
      <c r="E46" s="7" t="s">
        <v>29</v>
      </c>
      <c r="F46" s="7" t="s">
        <v>30</v>
      </c>
      <c r="G46" s="7" t="s">
        <v>31</v>
      </c>
      <c r="H46" s="7" t="s">
        <v>32</v>
      </c>
      <c r="I46" s="7" t="s">
        <v>33</v>
      </c>
      <c r="J46" s="7" t="s">
        <v>34</v>
      </c>
      <c r="K46" s="7" t="s">
        <v>35</v>
      </c>
      <c r="L46" s="7" t="s">
        <v>36</v>
      </c>
    </row>
    <row r="47" spans="1:12" x14ac:dyDescent="0.35">
      <c r="A47" s="7" t="s">
        <v>70</v>
      </c>
      <c r="B47" s="7" t="s">
        <v>71</v>
      </c>
      <c r="C47" s="7" t="s">
        <v>61</v>
      </c>
      <c r="D47" s="7">
        <v>1500</v>
      </c>
      <c r="E47" s="7">
        <v>21</v>
      </c>
      <c r="F47" s="7">
        <v>1500</v>
      </c>
      <c r="G47" s="7">
        <v>80</v>
      </c>
      <c r="H47" s="7">
        <v>50</v>
      </c>
      <c r="I47" s="7">
        <v>1630</v>
      </c>
      <c r="J47" s="7">
        <v>115</v>
      </c>
      <c r="K47" s="7">
        <v>116.5</v>
      </c>
      <c r="L47" s="7">
        <v>1513.5</v>
      </c>
    </row>
    <row r="48" spans="1:12" ht="9.9499999999999993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35">
      <c r="A49" s="7" t="s">
        <v>25</v>
      </c>
      <c r="B49" s="7" t="s">
        <v>26</v>
      </c>
      <c r="C49" s="7" t="s">
        <v>27</v>
      </c>
      <c r="D49" s="7" t="s">
        <v>28</v>
      </c>
      <c r="E49" s="7" t="s">
        <v>29</v>
      </c>
      <c r="F49" s="7" t="s">
        <v>30</v>
      </c>
      <c r="G49" s="7" t="s">
        <v>31</v>
      </c>
      <c r="H49" s="7" t="s">
        <v>32</v>
      </c>
      <c r="I49" s="7" t="s">
        <v>33</v>
      </c>
      <c r="J49" s="7" t="s">
        <v>34</v>
      </c>
      <c r="K49" s="7" t="s">
        <v>35</v>
      </c>
      <c r="L49" s="7" t="s">
        <v>36</v>
      </c>
    </row>
    <row r="50" spans="1:12" x14ac:dyDescent="0.35">
      <c r="A50" s="7" t="s">
        <v>72</v>
      </c>
      <c r="B50" s="7" t="s">
        <v>73</v>
      </c>
      <c r="C50" s="7" t="s">
        <v>61</v>
      </c>
      <c r="D50" s="7">
        <v>1500</v>
      </c>
      <c r="E50" s="7">
        <v>21</v>
      </c>
      <c r="F50" s="7">
        <v>1500</v>
      </c>
      <c r="G50" s="7">
        <v>85</v>
      </c>
      <c r="H50" s="7">
        <v>49</v>
      </c>
      <c r="I50" s="7">
        <v>1634</v>
      </c>
      <c r="J50" s="7">
        <v>114</v>
      </c>
      <c r="K50" s="7">
        <v>115.7</v>
      </c>
      <c r="L50" s="7">
        <v>1518.3</v>
      </c>
    </row>
    <row r="51" spans="1:12" ht="9.9499999999999993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35">
      <c r="A52" s="7" t="s">
        <v>25</v>
      </c>
      <c r="B52" s="7" t="s">
        <v>26</v>
      </c>
      <c r="C52" s="7" t="s">
        <v>27</v>
      </c>
      <c r="D52" s="7" t="s">
        <v>28</v>
      </c>
      <c r="E52" s="7" t="s">
        <v>29</v>
      </c>
      <c r="F52" s="7" t="s">
        <v>30</v>
      </c>
      <c r="G52" s="7" t="s">
        <v>31</v>
      </c>
      <c r="H52" s="7" t="s">
        <v>32</v>
      </c>
      <c r="I52" s="7" t="s">
        <v>33</v>
      </c>
      <c r="J52" s="7" t="s">
        <v>34</v>
      </c>
      <c r="K52" s="7" t="s">
        <v>35</v>
      </c>
      <c r="L52" s="7" t="s">
        <v>36</v>
      </c>
    </row>
    <row r="53" spans="1:12" x14ac:dyDescent="0.35">
      <c r="A53" s="7" t="s">
        <v>74</v>
      </c>
      <c r="B53" s="7" t="s">
        <v>75</v>
      </c>
      <c r="C53" s="7" t="s">
        <v>61</v>
      </c>
      <c r="D53" s="7">
        <v>1500</v>
      </c>
      <c r="E53" s="7">
        <v>21</v>
      </c>
      <c r="F53" s="7">
        <v>1500</v>
      </c>
      <c r="G53" s="7">
        <v>90</v>
      </c>
      <c r="H53" s="7">
        <v>48</v>
      </c>
      <c r="I53" s="7">
        <v>1638</v>
      </c>
      <c r="J53" s="7">
        <v>113</v>
      </c>
      <c r="K53" s="7">
        <v>114.9</v>
      </c>
      <c r="L53" s="7">
        <v>1523.1</v>
      </c>
    </row>
    <row r="54" spans="1:12" ht="9.9499999999999993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35">
      <c r="A55" s="7" t="s">
        <v>25</v>
      </c>
      <c r="B55" s="7" t="s">
        <v>26</v>
      </c>
      <c r="C55" s="7" t="s">
        <v>27</v>
      </c>
      <c r="D55" s="7" t="s">
        <v>28</v>
      </c>
      <c r="E55" s="7" t="s">
        <v>29</v>
      </c>
      <c r="F55" s="7" t="s">
        <v>30</v>
      </c>
      <c r="G55" s="7" t="s">
        <v>31</v>
      </c>
      <c r="H55" s="7" t="s">
        <v>32</v>
      </c>
      <c r="I55" s="7" t="s">
        <v>33</v>
      </c>
      <c r="J55" s="7" t="s">
        <v>34</v>
      </c>
      <c r="K55" s="7" t="s">
        <v>35</v>
      </c>
      <c r="L55" s="7" t="s">
        <v>36</v>
      </c>
    </row>
    <row r="56" spans="1:12" x14ac:dyDescent="0.35">
      <c r="A56" s="7" t="s">
        <v>76</v>
      </c>
      <c r="B56" s="7" t="s">
        <v>77</v>
      </c>
      <c r="C56" s="7" t="s">
        <v>61</v>
      </c>
      <c r="D56" s="7">
        <v>1500</v>
      </c>
      <c r="E56" s="7">
        <v>21</v>
      </c>
      <c r="F56" s="7">
        <v>1500</v>
      </c>
      <c r="G56" s="7">
        <v>95</v>
      </c>
      <c r="H56" s="7">
        <v>47</v>
      </c>
      <c r="I56" s="7">
        <v>1642</v>
      </c>
      <c r="J56" s="7">
        <v>112</v>
      </c>
      <c r="K56" s="7">
        <v>114.1</v>
      </c>
      <c r="L56" s="7">
        <v>1527.9</v>
      </c>
    </row>
    <row r="57" spans="1:12" ht="9.9499999999999993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35">
      <c r="A58" s="7" t="s">
        <v>25</v>
      </c>
      <c r="B58" s="7" t="s">
        <v>26</v>
      </c>
      <c r="C58" s="7" t="s">
        <v>27</v>
      </c>
      <c r="D58" s="7" t="s">
        <v>28</v>
      </c>
      <c r="E58" s="7" t="s">
        <v>29</v>
      </c>
      <c r="F58" s="7" t="s">
        <v>30</v>
      </c>
      <c r="G58" s="7" t="s">
        <v>31</v>
      </c>
      <c r="H58" s="7" t="s">
        <v>32</v>
      </c>
      <c r="I58" s="7" t="s">
        <v>33</v>
      </c>
      <c r="J58" s="7" t="s">
        <v>34</v>
      </c>
      <c r="K58" s="7" t="s">
        <v>35</v>
      </c>
      <c r="L58" s="7" t="s">
        <v>36</v>
      </c>
    </row>
    <row r="59" spans="1:12" x14ac:dyDescent="0.35">
      <c r="A59" s="7" t="s">
        <v>78</v>
      </c>
      <c r="B59" s="7" t="s">
        <v>79</v>
      </c>
      <c r="C59" s="7" t="s">
        <v>61</v>
      </c>
      <c r="D59" s="7">
        <v>1500</v>
      </c>
      <c r="E59" s="7">
        <v>21</v>
      </c>
      <c r="F59" s="7">
        <v>1500</v>
      </c>
      <c r="G59" s="7">
        <v>100</v>
      </c>
      <c r="H59" s="7">
        <v>46</v>
      </c>
      <c r="I59" s="7">
        <v>1646</v>
      </c>
      <c r="J59" s="7">
        <v>111</v>
      </c>
      <c r="K59" s="7">
        <v>113.3</v>
      </c>
      <c r="L59" s="7">
        <v>1532.7</v>
      </c>
    </row>
    <row r="60" spans="1:12" ht="9.9499999999999993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35">
      <c r="A61" s="7" t="s">
        <v>25</v>
      </c>
      <c r="B61" s="7" t="s">
        <v>26</v>
      </c>
      <c r="C61" s="7" t="s">
        <v>27</v>
      </c>
      <c r="D61" s="7" t="s">
        <v>28</v>
      </c>
      <c r="E61" s="7" t="s">
        <v>29</v>
      </c>
      <c r="F61" s="7" t="s">
        <v>30</v>
      </c>
      <c r="G61" s="7" t="s">
        <v>31</v>
      </c>
      <c r="H61" s="7" t="s">
        <v>32</v>
      </c>
      <c r="I61" s="7" t="s">
        <v>33</v>
      </c>
      <c r="J61" s="7" t="s">
        <v>34</v>
      </c>
      <c r="K61" s="7" t="s">
        <v>35</v>
      </c>
      <c r="L61" s="7" t="s">
        <v>36</v>
      </c>
    </row>
    <row r="62" spans="1:12" x14ac:dyDescent="0.35">
      <c r="A62" s="7" t="s">
        <v>80</v>
      </c>
      <c r="B62" s="7" t="s">
        <v>81</v>
      </c>
      <c r="C62" s="7" t="s">
        <v>61</v>
      </c>
      <c r="D62" s="7">
        <v>1500</v>
      </c>
      <c r="E62" s="7">
        <v>21</v>
      </c>
      <c r="F62" s="7">
        <v>1500</v>
      </c>
      <c r="G62" s="7">
        <v>105</v>
      </c>
      <c r="H62" s="7">
        <v>45</v>
      </c>
      <c r="I62" s="7">
        <v>1650</v>
      </c>
      <c r="J62" s="7">
        <v>110</v>
      </c>
      <c r="K62" s="7">
        <v>112.5</v>
      </c>
      <c r="L62" s="7">
        <v>1537.5</v>
      </c>
    </row>
    <row r="63" spans="1:12" ht="9.9499999999999993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35">
      <c r="A64" s="7" t="s">
        <v>25</v>
      </c>
      <c r="B64" s="7" t="s">
        <v>26</v>
      </c>
      <c r="C64" s="7" t="s">
        <v>27</v>
      </c>
      <c r="D64" s="7" t="s">
        <v>28</v>
      </c>
      <c r="E64" s="7" t="s">
        <v>29</v>
      </c>
      <c r="F64" s="7" t="s">
        <v>30</v>
      </c>
      <c r="G64" s="7" t="s">
        <v>31</v>
      </c>
      <c r="H64" s="7" t="s">
        <v>32</v>
      </c>
      <c r="I64" s="7" t="s">
        <v>33</v>
      </c>
      <c r="J64" s="7" t="s">
        <v>34</v>
      </c>
      <c r="K64" s="7" t="s">
        <v>35</v>
      </c>
      <c r="L64" s="7" t="s">
        <v>36</v>
      </c>
    </row>
    <row r="65" spans="1:12" x14ac:dyDescent="0.35">
      <c r="A65" s="7" t="s">
        <v>82</v>
      </c>
      <c r="B65" s="7" t="s">
        <v>83</v>
      </c>
      <c r="C65" s="7" t="s">
        <v>61</v>
      </c>
      <c r="D65" s="7">
        <v>1500</v>
      </c>
      <c r="E65" s="7">
        <v>21</v>
      </c>
      <c r="F65" s="7">
        <v>1500</v>
      </c>
      <c r="G65" s="7">
        <v>110</v>
      </c>
      <c r="H65" s="7">
        <v>44</v>
      </c>
      <c r="I65" s="7">
        <v>1654</v>
      </c>
      <c r="J65" s="7">
        <v>109</v>
      </c>
      <c r="K65" s="7">
        <v>111.7</v>
      </c>
      <c r="L65" s="7">
        <v>1542.3</v>
      </c>
    </row>
    <row r="66" spans="1:12" ht="9.9499999999999993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35">
      <c r="A67" s="7" t="s">
        <v>25</v>
      </c>
      <c r="B67" s="7" t="s">
        <v>26</v>
      </c>
      <c r="C67" s="7" t="s">
        <v>27</v>
      </c>
      <c r="D67" s="7" t="s">
        <v>28</v>
      </c>
      <c r="E67" s="7" t="s">
        <v>29</v>
      </c>
      <c r="F67" s="7" t="s">
        <v>30</v>
      </c>
      <c r="G67" s="7" t="s">
        <v>31</v>
      </c>
      <c r="H67" s="7" t="s">
        <v>32</v>
      </c>
      <c r="I67" s="7" t="s">
        <v>33</v>
      </c>
      <c r="J67" s="7" t="s">
        <v>34</v>
      </c>
      <c r="K67" s="7" t="s">
        <v>35</v>
      </c>
      <c r="L67" s="7" t="s">
        <v>36</v>
      </c>
    </row>
    <row r="68" spans="1:12" x14ac:dyDescent="0.35">
      <c r="A68" s="7" t="s">
        <v>84</v>
      </c>
      <c r="B68" s="7" t="s">
        <v>85</v>
      </c>
      <c r="C68" s="7" t="s">
        <v>61</v>
      </c>
      <c r="D68" s="7">
        <v>1500</v>
      </c>
      <c r="E68" s="7">
        <v>21</v>
      </c>
      <c r="F68" s="7">
        <v>1500</v>
      </c>
      <c r="G68" s="7">
        <v>115</v>
      </c>
      <c r="H68" s="7">
        <v>43</v>
      </c>
      <c r="I68" s="7">
        <v>1658</v>
      </c>
      <c r="J68" s="7">
        <v>108</v>
      </c>
      <c r="K68" s="7">
        <v>110.9</v>
      </c>
      <c r="L68" s="7">
        <v>1547.1</v>
      </c>
    </row>
    <row r="69" spans="1:12" ht="9.9499999999999993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35">
      <c r="A70" s="7" t="s">
        <v>25</v>
      </c>
      <c r="B70" s="7" t="s">
        <v>26</v>
      </c>
      <c r="C70" s="7" t="s">
        <v>27</v>
      </c>
      <c r="D70" s="7" t="s">
        <v>28</v>
      </c>
      <c r="E70" s="7" t="s">
        <v>29</v>
      </c>
      <c r="F70" s="7" t="s">
        <v>30</v>
      </c>
      <c r="G70" s="7" t="s">
        <v>31</v>
      </c>
      <c r="H70" s="7" t="s">
        <v>32</v>
      </c>
      <c r="I70" s="7" t="s">
        <v>33</v>
      </c>
      <c r="J70" s="7" t="s">
        <v>34</v>
      </c>
      <c r="K70" s="7" t="s">
        <v>35</v>
      </c>
      <c r="L70" s="7" t="s">
        <v>36</v>
      </c>
    </row>
    <row r="71" spans="1:12" x14ac:dyDescent="0.35">
      <c r="A71" s="7" t="s">
        <v>86</v>
      </c>
      <c r="B71" s="7" t="s">
        <v>173</v>
      </c>
      <c r="C71" s="7" t="s">
        <v>61</v>
      </c>
      <c r="D71" s="7">
        <v>1500</v>
      </c>
      <c r="E71" s="7">
        <v>21</v>
      </c>
      <c r="F71" s="7">
        <v>1500</v>
      </c>
      <c r="G71" s="7">
        <v>120</v>
      </c>
      <c r="H71" s="7">
        <v>42</v>
      </c>
      <c r="I71" s="7">
        <v>1662</v>
      </c>
      <c r="J71" s="7">
        <v>107</v>
      </c>
      <c r="K71" s="7">
        <v>110.1</v>
      </c>
      <c r="L71" s="7">
        <v>1551.9</v>
      </c>
    </row>
    <row r="72" spans="1:12" ht="9.9499999999999993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35">
      <c r="A73" s="7" t="s">
        <v>25</v>
      </c>
      <c r="B73" s="7" t="s">
        <v>26</v>
      </c>
      <c r="C73" s="7" t="s">
        <v>27</v>
      </c>
      <c r="D73" s="7" t="s">
        <v>28</v>
      </c>
      <c r="E73" s="7" t="s">
        <v>29</v>
      </c>
      <c r="F73" s="7" t="s">
        <v>30</v>
      </c>
      <c r="G73" s="7" t="s">
        <v>31</v>
      </c>
      <c r="H73" s="7" t="s">
        <v>32</v>
      </c>
      <c r="I73" s="7" t="s">
        <v>33</v>
      </c>
      <c r="J73" s="7" t="s">
        <v>34</v>
      </c>
      <c r="K73" s="7" t="s">
        <v>35</v>
      </c>
      <c r="L73" s="7" t="s">
        <v>36</v>
      </c>
    </row>
    <row r="74" spans="1:12" x14ac:dyDescent="0.35">
      <c r="A74" s="7" t="s">
        <v>88</v>
      </c>
      <c r="B74" s="7" t="s">
        <v>89</v>
      </c>
      <c r="C74" s="7" t="s">
        <v>61</v>
      </c>
      <c r="D74" s="7">
        <v>1500</v>
      </c>
      <c r="E74" s="7">
        <v>21</v>
      </c>
      <c r="F74" s="7">
        <v>1500</v>
      </c>
      <c r="G74" s="7">
        <v>125</v>
      </c>
      <c r="H74" s="7">
        <v>41</v>
      </c>
      <c r="I74" s="7">
        <v>1666</v>
      </c>
      <c r="J74" s="7">
        <v>106</v>
      </c>
      <c r="K74" s="7">
        <v>109.3</v>
      </c>
      <c r="L74" s="7">
        <v>1556.7</v>
      </c>
    </row>
    <row r="75" spans="1:12" ht="9.9499999999999993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35">
      <c r="A76" s="7" t="s">
        <v>25</v>
      </c>
      <c r="B76" s="7" t="s">
        <v>26</v>
      </c>
      <c r="C76" s="7" t="s">
        <v>27</v>
      </c>
      <c r="D76" s="7" t="s">
        <v>28</v>
      </c>
      <c r="E76" s="7" t="s">
        <v>29</v>
      </c>
      <c r="F76" s="7" t="s">
        <v>30</v>
      </c>
      <c r="G76" s="7" t="s">
        <v>31</v>
      </c>
      <c r="H76" s="7" t="s">
        <v>32</v>
      </c>
      <c r="I76" s="7" t="s">
        <v>33</v>
      </c>
      <c r="J76" s="7" t="s">
        <v>34</v>
      </c>
      <c r="K76" s="7" t="s">
        <v>35</v>
      </c>
      <c r="L76" s="7" t="s">
        <v>36</v>
      </c>
    </row>
    <row r="77" spans="1:12" x14ac:dyDescent="0.35">
      <c r="A77" s="7" t="s">
        <v>90</v>
      </c>
      <c r="B77" s="7" t="s">
        <v>91</v>
      </c>
      <c r="C77" s="7" t="s">
        <v>61</v>
      </c>
      <c r="D77" s="7">
        <v>1500</v>
      </c>
      <c r="E77" s="7">
        <v>21</v>
      </c>
      <c r="F77" s="7">
        <v>1500</v>
      </c>
      <c r="G77" s="7">
        <v>130</v>
      </c>
      <c r="H77" s="7">
        <v>40</v>
      </c>
      <c r="I77" s="7">
        <v>1670</v>
      </c>
      <c r="J77" s="7">
        <v>105</v>
      </c>
      <c r="K77" s="7">
        <v>108.5</v>
      </c>
      <c r="L77" s="7">
        <v>1561.5</v>
      </c>
    </row>
    <row r="78" spans="1:12" ht="9.9499999999999993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35">
      <c r="A79" s="7" t="s">
        <v>25</v>
      </c>
      <c r="B79" s="7" t="s">
        <v>26</v>
      </c>
      <c r="C79" s="7" t="s">
        <v>27</v>
      </c>
      <c r="D79" s="7" t="s">
        <v>28</v>
      </c>
      <c r="E79" s="7" t="s">
        <v>29</v>
      </c>
      <c r="F79" s="7" t="s">
        <v>30</v>
      </c>
      <c r="G79" s="7" t="s">
        <v>31</v>
      </c>
      <c r="H79" s="7" t="s">
        <v>32</v>
      </c>
      <c r="I79" s="7" t="s">
        <v>33</v>
      </c>
      <c r="J79" s="7" t="s">
        <v>34</v>
      </c>
      <c r="K79" s="7" t="s">
        <v>35</v>
      </c>
      <c r="L79" s="7" t="s">
        <v>36</v>
      </c>
    </row>
    <row r="80" spans="1:12" x14ac:dyDescent="0.35">
      <c r="A80" s="7" t="s">
        <v>92</v>
      </c>
      <c r="B80" s="7" t="s">
        <v>93</v>
      </c>
      <c r="C80" s="7" t="s">
        <v>61</v>
      </c>
      <c r="D80" s="7">
        <v>1500</v>
      </c>
      <c r="E80" s="7">
        <v>21</v>
      </c>
      <c r="F80" s="7">
        <v>1500</v>
      </c>
      <c r="G80" s="7">
        <v>135</v>
      </c>
      <c r="H80" s="7">
        <v>39</v>
      </c>
      <c r="I80" s="7">
        <v>1674</v>
      </c>
      <c r="J80" s="7">
        <v>104</v>
      </c>
      <c r="K80" s="7">
        <v>107.7</v>
      </c>
      <c r="L80" s="7">
        <v>1566.3</v>
      </c>
    </row>
    <row r="81" spans="1:12" ht="9.9499999999999993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x14ac:dyDescent="0.35">
      <c r="A82" s="7" t="s">
        <v>25</v>
      </c>
      <c r="B82" s="7" t="s">
        <v>26</v>
      </c>
      <c r="C82" s="7" t="s">
        <v>27</v>
      </c>
      <c r="D82" s="7" t="s">
        <v>28</v>
      </c>
      <c r="E82" s="7" t="s">
        <v>29</v>
      </c>
      <c r="F82" s="7" t="s">
        <v>30</v>
      </c>
      <c r="G82" s="7" t="s">
        <v>31</v>
      </c>
      <c r="H82" s="7" t="s">
        <v>32</v>
      </c>
      <c r="I82" s="7" t="s">
        <v>33</v>
      </c>
      <c r="J82" s="7" t="s">
        <v>34</v>
      </c>
      <c r="K82" s="7" t="s">
        <v>35</v>
      </c>
      <c r="L82" s="7" t="s">
        <v>36</v>
      </c>
    </row>
    <row r="83" spans="1:12" x14ac:dyDescent="0.35">
      <c r="A83" s="7" t="s">
        <v>94</v>
      </c>
      <c r="B83" s="7" t="s">
        <v>95</v>
      </c>
      <c r="C83" s="7" t="s">
        <v>61</v>
      </c>
      <c r="D83" s="7">
        <v>1500</v>
      </c>
      <c r="E83" s="7">
        <v>21</v>
      </c>
      <c r="F83" s="7">
        <v>1500</v>
      </c>
      <c r="G83" s="7">
        <v>140</v>
      </c>
      <c r="H83" s="7">
        <v>38</v>
      </c>
      <c r="I83" s="7">
        <v>1678</v>
      </c>
      <c r="J83" s="7">
        <v>103</v>
      </c>
      <c r="K83" s="7">
        <v>106.9</v>
      </c>
      <c r="L83" s="7">
        <v>1571.1</v>
      </c>
    </row>
    <row r="84" spans="1:12" ht="9.9499999999999993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35">
      <c r="A85" s="7" t="s">
        <v>25</v>
      </c>
      <c r="B85" s="7" t="s">
        <v>26</v>
      </c>
      <c r="C85" s="7" t="s">
        <v>27</v>
      </c>
      <c r="D85" s="7" t="s">
        <v>28</v>
      </c>
      <c r="E85" s="7" t="s">
        <v>29</v>
      </c>
      <c r="F85" s="7" t="s">
        <v>30</v>
      </c>
      <c r="G85" s="7" t="s">
        <v>31</v>
      </c>
      <c r="H85" s="7" t="s">
        <v>32</v>
      </c>
      <c r="I85" s="7" t="s">
        <v>33</v>
      </c>
      <c r="J85" s="7" t="s">
        <v>34</v>
      </c>
      <c r="K85" s="7" t="s">
        <v>35</v>
      </c>
      <c r="L85" s="7" t="s">
        <v>36</v>
      </c>
    </row>
    <row r="86" spans="1:12" x14ac:dyDescent="0.35">
      <c r="A86" s="7" t="s">
        <v>96</v>
      </c>
      <c r="B86" s="7" t="s">
        <v>97</v>
      </c>
      <c r="C86" s="7" t="s">
        <v>61</v>
      </c>
      <c r="D86" s="7">
        <v>1500</v>
      </c>
      <c r="E86" s="7">
        <v>21</v>
      </c>
      <c r="F86" s="7">
        <v>1500</v>
      </c>
      <c r="G86" s="7">
        <v>145</v>
      </c>
      <c r="H86" s="7">
        <v>37</v>
      </c>
      <c r="I86" s="7">
        <v>1682</v>
      </c>
      <c r="J86" s="7">
        <v>102</v>
      </c>
      <c r="K86" s="7">
        <v>106.1</v>
      </c>
      <c r="L86" s="7">
        <v>1575.9</v>
      </c>
    </row>
    <row r="87" spans="1:12" ht="9.9499999999999993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5">
      <c r="A88" s="7" t="s">
        <v>25</v>
      </c>
      <c r="B88" s="7" t="s">
        <v>26</v>
      </c>
      <c r="C88" s="7" t="s">
        <v>27</v>
      </c>
      <c r="D88" s="7" t="s">
        <v>28</v>
      </c>
      <c r="E88" s="7" t="s">
        <v>29</v>
      </c>
      <c r="F88" s="7" t="s">
        <v>30</v>
      </c>
      <c r="G88" s="7" t="s">
        <v>31</v>
      </c>
      <c r="H88" s="7" t="s">
        <v>32</v>
      </c>
      <c r="I88" s="7" t="s">
        <v>33</v>
      </c>
      <c r="J88" s="7" t="s">
        <v>34</v>
      </c>
      <c r="K88" s="7" t="s">
        <v>35</v>
      </c>
      <c r="L88" s="7" t="s">
        <v>36</v>
      </c>
    </row>
    <row r="89" spans="1:12" x14ac:dyDescent="0.35">
      <c r="A89" s="7" t="s">
        <v>98</v>
      </c>
      <c r="B89" s="7" t="s">
        <v>99</v>
      </c>
      <c r="C89" s="7" t="s">
        <v>61</v>
      </c>
      <c r="D89" s="7">
        <v>1500</v>
      </c>
      <c r="E89" s="7">
        <v>21</v>
      </c>
      <c r="F89" s="7">
        <v>1500</v>
      </c>
      <c r="G89" s="7">
        <v>150</v>
      </c>
      <c r="H89" s="7">
        <v>36</v>
      </c>
      <c r="I89" s="7">
        <v>1686</v>
      </c>
      <c r="J89" s="7">
        <v>101</v>
      </c>
      <c r="K89" s="7">
        <v>105.3</v>
      </c>
      <c r="L89" s="7">
        <v>1580.7</v>
      </c>
    </row>
    <row r="90" spans="1:12" ht="9.9499999999999993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35">
      <c r="A91" s="7" t="s">
        <v>25</v>
      </c>
      <c r="B91" s="7" t="s">
        <v>26</v>
      </c>
      <c r="C91" s="7" t="s">
        <v>27</v>
      </c>
      <c r="D91" s="7" t="s">
        <v>28</v>
      </c>
      <c r="E91" s="7" t="s">
        <v>29</v>
      </c>
      <c r="F91" s="7" t="s">
        <v>30</v>
      </c>
      <c r="G91" s="7" t="s">
        <v>31</v>
      </c>
      <c r="H91" s="7" t="s">
        <v>32</v>
      </c>
      <c r="I91" s="7" t="s">
        <v>33</v>
      </c>
      <c r="J91" s="7" t="s">
        <v>34</v>
      </c>
      <c r="K91" s="7" t="s">
        <v>35</v>
      </c>
      <c r="L91" s="7" t="s">
        <v>36</v>
      </c>
    </row>
    <row r="92" spans="1:12" x14ac:dyDescent="0.35">
      <c r="A92" s="7" t="s">
        <v>100</v>
      </c>
      <c r="B92" s="7" t="s">
        <v>101</v>
      </c>
      <c r="C92" s="7" t="s">
        <v>61</v>
      </c>
      <c r="D92" s="7">
        <v>1500</v>
      </c>
      <c r="E92" s="7">
        <v>21</v>
      </c>
      <c r="F92" s="7">
        <v>1500</v>
      </c>
      <c r="G92" s="7">
        <v>155</v>
      </c>
      <c r="H92" s="7">
        <v>35</v>
      </c>
      <c r="I92" s="7">
        <v>1690</v>
      </c>
      <c r="J92" s="7">
        <v>100</v>
      </c>
      <c r="K92" s="7">
        <v>104.5</v>
      </c>
      <c r="L92" s="7">
        <v>1585.5</v>
      </c>
    </row>
    <row r="93" spans="1:12" ht="9.9499999999999993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35">
      <c r="A94" s="7" t="s">
        <v>25</v>
      </c>
      <c r="B94" s="7" t="s">
        <v>26</v>
      </c>
      <c r="C94" s="7" t="s">
        <v>27</v>
      </c>
      <c r="D94" s="7" t="s">
        <v>28</v>
      </c>
      <c r="E94" s="7" t="s">
        <v>29</v>
      </c>
      <c r="F94" s="7" t="s">
        <v>30</v>
      </c>
      <c r="G94" s="7" t="s">
        <v>31</v>
      </c>
      <c r="H94" s="7" t="s">
        <v>32</v>
      </c>
      <c r="I94" s="7" t="s">
        <v>33</v>
      </c>
      <c r="J94" s="7" t="s">
        <v>34</v>
      </c>
      <c r="K94" s="7" t="s">
        <v>35</v>
      </c>
      <c r="L94" s="7" t="s">
        <v>36</v>
      </c>
    </row>
    <row r="95" spans="1:12" x14ac:dyDescent="0.35">
      <c r="A95" s="7" t="s">
        <v>102</v>
      </c>
      <c r="B95" s="7" t="s">
        <v>103</v>
      </c>
      <c r="C95" s="7" t="s">
        <v>61</v>
      </c>
      <c r="D95" s="7">
        <v>1500</v>
      </c>
      <c r="E95" s="7">
        <v>21</v>
      </c>
      <c r="F95" s="7">
        <v>1500</v>
      </c>
      <c r="G95" s="7">
        <v>160</v>
      </c>
      <c r="H95" s="7">
        <v>34</v>
      </c>
      <c r="I95" s="7">
        <v>1694</v>
      </c>
      <c r="J95" s="7">
        <v>99</v>
      </c>
      <c r="K95" s="7">
        <v>103.7</v>
      </c>
      <c r="L95" s="7">
        <v>1590.3</v>
      </c>
    </row>
    <row r="96" spans="1:12" ht="9.9499999999999993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35">
      <c r="A97" s="7" t="s">
        <v>25</v>
      </c>
      <c r="B97" s="7" t="s">
        <v>26</v>
      </c>
      <c r="C97" s="7" t="s">
        <v>27</v>
      </c>
      <c r="D97" s="7" t="s">
        <v>28</v>
      </c>
      <c r="E97" s="7" t="s">
        <v>29</v>
      </c>
      <c r="F97" s="7" t="s">
        <v>30</v>
      </c>
      <c r="G97" s="7" t="s">
        <v>31</v>
      </c>
      <c r="H97" s="7" t="s">
        <v>32</v>
      </c>
      <c r="I97" s="7" t="s">
        <v>33</v>
      </c>
      <c r="J97" s="7" t="s">
        <v>34</v>
      </c>
      <c r="K97" s="7" t="s">
        <v>35</v>
      </c>
      <c r="L97" s="7" t="s">
        <v>36</v>
      </c>
    </row>
    <row r="98" spans="1:12" x14ac:dyDescent="0.35">
      <c r="A98" s="7" t="s">
        <v>104</v>
      </c>
      <c r="B98" s="7" t="s">
        <v>105</v>
      </c>
      <c r="C98" s="7" t="s">
        <v>61</v>
      </c>
      <c r="D98" s="7">
        <v>1500</v>
      </c>
      <c r="E98" s="7">
        <v>21</v>
      </c>
      <c r="F98" s="7">
        <v>1500</v>
      </c>
      <c r="G98" s="7">
        <v>165</v>
      </c>
      <c r="H98" s="7">
        <v>33</v>
      </c>
      <c r="I98" s="7">
        <v>1698</v>
      </c>
      <c r="J98" s="7">
        <v>98</v>
      </c>
      <c r="K98" s="7">
        <v>102.9</v>
      </c>
      <c r="L98" s="7">
        <v>1595.1</v>
      </c>
    </row>
    <row r="99" spans="1:12" ht="9.9499999999999993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35">
      <c r="A100" s="7" t="s">
        <v>25</v>
      </c>
      <c r="B100" s="7" t="s">
        <v>26</v>
      </c>
      <c r="C100" s="7" t="s">
        <v>27</v>
      </c>
      <c r="D100" s="7" t="s">
        <v>28</v>
      </c>
      <c r="E100" s="7" t="s">
        <v>29</v>
      </c>
      <c r="F100" s="7" t="s">
        <v>30</v>
      </c>
      <c r="G100" s="7" t="s">
        <v>31</v>
      </c>
      <c r="H100" s="7" t="s">
        <v>32</v>
      </c>
      <c r="I100" s="7" t="s">
        <v>33</v>
      </c>
      <c r="J100" s="7" t="s">
        <v>34</v>
      </c>
      <c r="K100" s="7" t="s">
        <v>35</v>
      </c>
      <c r="L100" s="7" t="s">
        <v>36</v>
      </c>
    </row>
    <row r="101" spans="1:12" x14ac:dyDescent="0.35">
      <c r="A101" s="7" t="s">
        <v>106</v>
      </c>
      <c r="B101" s="7" t="s">
        <v>107</v>
      </c>
      <c r="C101" s="7" t="s">
        <v>61</v>
      </c>
      <c r="D101" s="7">
        <v>1500</v>
      </c>
      <c r="E101" s="7">
        <v>21</v>
      </c>
      <c r="F101" s="7">
        <v>1500</v>
      </c>
      <c r="G101" s="7">
        <v>170</v>
      </c>
      <c r="H101" s="7">
        <v>32</v>
      </c>
      <c r="I101" s="7">
        <v>1702</v>
      </c>
      <c r="J101" s="7">
        <v>97</v>
      </c>
      <c r="K101" s="7">
        <v>102.1</v>
      </c>
      <c r="L101" s="7">
        <v>1599.9</v>
      </c>
    </row>
    <row r="102" spans="1:12" ht="9.9499999999999993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35">
      <c r="A103" s="7" t="s">
        <v>25</v>
      </c>
      <c r="B103" s="7" t="s">
        <v>26</v>
      </c>
      <c r="C103" s="7" t="s">
        <v>27</v>
      </c>
      <c r="D103" s="7" t="s">
        <v>28</v>
      </c>
      <c r="E103" s="7" t="s">
        <v>29</v>
      </c>
      <c r="F103" s="7" t="s">
        <v>30</v>
      </c>
      <c r="G103" s="7" t="s">
        <v>31</v>
      </c>
      <c r="H103" s="7" t="s">
        <v>32</v>
      </c>
      <c r="I103" s="7" t="s">
        <v>33</v>
      </c>
      <c r="J103" s="7" t="s">
        <v>34</v>
      </c>
      <c r="K103" s="7" t="s">
        <v>35</v>
      </c>
      <c r="L103" s="7" t="s">
        <v>36</v>
      </c>
    </row>
    <row r="104" spans="1:12" x14ac:dyDescent="0.35">
      <c r="A104" s="7" t="s">
        <v>108</v>
      </c>
      <c r="B104" s="7" t="s">
        <v>109</v>
      </c>
      <c r="C104" s="7" t="s">
        <v>61</v>
      </c>
      <c r="D104" s="7">
        <v>1500</v>
      </c>
      <c r="E104" s="7">
        <v>21</v>
      </c>
      <c r="F104" s="7">
        <v>1500</v>
      </c>
      <c r="G104" s="7">
        <v>175</v>
      </c>
      <c r="H104" s="7">
        <v>31</v>
      </c>
      <c r="I104" s="7">
        <v>1706</v>
      </c>
      <c r="J104" s="7">
        <v>96</v>
      </c>
      <c r="K104" s="7">
        <v>101.3</v>
      </c>
      <c r="L104" s="7">
        <v>1604.7</v>
      </c>
    </row>
    <row r="105" spans="1:12" ht="9.9499999999999993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35">
      <c r="A106" s="7" t="s">
        <v>25</v>
      </c>
      <c r="B106" s="7" t="s">
        <v>26</v>
      </c>
      <c r="C106" s="7" t="s">
        <v>27</v>
      </c>
      <c r="D106" s="7" t="s">
        <v>28</v>
      </c>
      <c r="E106" s="7" t="s">
        <v>29</v>
      </c>
      <c r="F106" s="7" t="s">
        <v>30</v>
      </c>
      <c r="G106" s="7" t="s">
        <v>31</v>
      </c>
      <c r="H106" s="7" t="s">
        <v>32</v>
      </c>
      <c r="I106" s="7" t="s">
        <v>33</v>
      </c>
      <c r="J106" s="7" t="s">
        <v>34</v>
      </c>
      <c r="K106" s="7" t="s">
        <v>35</v>
      </c>
      <c r="L106" s="7" t="s">
        <v>36</v>
      </c>
    </row>
    <row r="107" spans="1:12" x14ac:dyDescent="0.35">
      <c r="A107" s="7" t="s">
        <v>110</v>
      </c>
      <c r="B107" s="7" t="s">
        <v>111</v>
      </c>
      <c r="C107" s="7" t="s">
        <v>112</v>
      </c>
      <c r="D107" s="7">
        <v>800</v>
      </c>
      <c r="E107" s="7">
        <v>21</v>
      </c>
      <c r="F107" s="7">
        <v>800</v>
      </c>
      <c r="G107" s="7">
        <v>180</v>
      </c>
      <c r="H107" s="7">
        <v>30</v>
      </c>
      <c r="I107" s="7">
        <v>1010</v>
      </c>
      <c r="J107" s="7">
        <v>95</v>
      </c>
      <c r="K107" s="7">
        <v>95</v>
      </c>
      <c r="L107" s="7">
        <v>915</v>
      </c>
    </row>
    <row r="108" spans="1:12" ht="9.9499999999999993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35">
      <c r="A109" s="7" t="s">
        <v>25</v>
      </c>
      <c r="B109" s="7" t="s">
        <v>26</v>
      </c>
      <c r="C109" s="7" t="s">
        <v>27</v>
      </c>
      <c r="D109" s="7" t="s">
        <v>28</v>
      </c>
      <c r="E109" s="7" t="s">
        <v>29</v>
      </c>
      <c r="F109" s="7" t="s">
        <v>30</v>
      </c>
      <c r="G109" s="7" t="s">
        <v>31</v>
      </c>
      <c r="H109" s="7" t="s">
        <v>32</v>
      </c>
      <c r="I109" s="7" t="s">
        <v>33</v>
      </c>
      <c r="J109" s="7" t="s">
        <v>34</v>
      </c>
      <c r="K109" s="7" t="s">
        <v>35</v>
      </c>
      <c r="L109" s="7" t="s">
        <v>36</v>
      </c>
    </row>
    <row r="110" spans="1:12" x14ac:dyDescent="0.35">
      <c r="A110" s="7" t="s">
        <v>113</v>
      </c>
      <c r="B110" s="7" t="s">
        <v>114</v>
      </c>
      <c r="C110" s="7" t="s">
        <v>112</v>
      </c>
      <c r="D110" s="7">
        <v>800</v>
      </c>
      <c r="E110" s="7">
        <v>21</v>
      </c>
      <c r="F110" s="7">
        <v>800</v>
      </c>
      <c r="G110" s="7">
        <v>185</v>
      </c>
      <c r="H110" s="7">
        <v>29</v>
      </c>
      <c r="I110" s="7">
        <v>1014</v>
      </c>
      <c r="J110" s="7">
        <v>94</v>
      </c>
      <c r="K110" s="7">
        <v>94</v>
      </c>
      <c r="L110" s="7">
        <v>920</v>
      </c>
    </row>
    <row r="111" spans="1:12" ht="9.9499999999999993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35">
      <c r="A112" s="7" t="s">
        <v>25</v>
      </c>
      <c r="B112" s="7" t="s">
        <v>26</v>
      </c>
      <c r="C112" s="7" t="s">
        <v>27</v>
      </c>
      <c r="D112" s="7" t="s">
        <v>28</v>
      </c>
      <c r="E112" s="7" t="s">
        <v>29</v>
      </c>
      <c r="F112" s="7" t="s">
        <v>30</v>
      </c>
      <c r="G112" s="7" t="s">
        <v>31</v>
      </c>
      <c r="H112" s="7" t="s">
        <v>32</v>
      </c>
      <c r="I112" s="7" t="s">
        <v>33</v>
      </c>
      <c r="J112" s="7" t="s">
        <v>34</v>
      </c>
      <c r="K112" s="7" t="s">
        <v>35</v>
      </c>
      <c r="L112" s="7" t="s">
        <v>36</v>
      </c>
    </row>
    <row r="113" spans="1:12" x14ac:dyDescent="0.35">
      <c r="A113" s="7" t="s">
        <v>115</v>
      </c>
      <c r="B113" s="7" t="s">
        <v>116</v>
      </c>
      <c r="C113" s="7" t="s">
        <v>112</v>
      </c>
      <c r="D113" s="7">
        <v>800</v>
      </c>
      <c r="E113" s="7">
        <v>21</v>
      </c>
      <c r="F113" s="7">
        <v>800</v>
      </c>
      <c r="G113" s="7">
        <v>190</v>
      </c>
      <c r="H113" s="7">
        <v>28</v>
      </c>
      <c r="I113" s="7">
        <v>1018</v>
      </c>
      <c r="J113" s="7">
        <v>93</v>
      </c>
      <c r="K113" s="7">
        <v>93</v>
      </c>
      <c r="L113" s="7">
        <v>925</v>
      </c>
    </row>
    <row r="114" spans="1:12" ht="9.9499999999999993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35">
      <c r="A115" s="7" t="s">
        <v>25</v>
      </c>
      <c r="B115" s="7" t="s">
        <v>26</v>
      </c>
      <c r="C115" s="7" t="s">
        <v>27</v>
      </c>
      <c r="D115" s="7" t="s">
        <v>28</v>
      </c>
      <c r="E115" s="7" t="s">
        <v>29</v>
      </c>
      <c r="F115" s="7" t="s">
        <v>30</v>
      </c>
      <c r="G115" s="7" t="s">
        <v>31</v>
      </c>
      <c r="H115" s="7" t="s">
        <v>32</v>
      </c>
      <c r="I115" s="7" t="s">
        <v>33</v>
      </c>
      <c r="J115" s="7" t="s">
        <v>34</v>
      </c>
      <c r="K115" s="7" t="s">
        <v>35</v>
      </c>
      <c r="L115" s="7" t="s">
        <v>36</v>
      </c>
    </row>
    <row r="116" spans="1:12" x14ac:dyDescent="0.35">
      <c r="A116" s="7" t="s">
        <v>117</v>
      </c>
      <c r="B116" s="7" t="s">
        <v>118</v>
      </c>
      <c r="C116" s="7" t="s">
        <v>112</v>
      </c>
      <c r="D116" s="7">
        <v>800</v>
      </c>
      <c r="E116" s="7">
        <v>21</v>
      </c>
      <c r="F116" s="7">
        <v>800</v>
      </c>
      <c r="G116" s="7">
        <v>195</v>
      </c>
      <c r="H116" s="7">
        <v>27</v>
      </c>
      <c r="I116" s="7">
        <v>1022</v>
      </c>
      <c r="J116" s="7">
        <v>92</v>
      </c>
      <c r="K116" s="7">
        <v>92</v>
      </c>
      <c r="L116" s="7">
        <v>930</v>
      </c>
    </row>
    <row r="117" spans="1:12" ht="9.9499999999999993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35">
      <c r="A118" s="7" t="s">
        <v>25</v>
      </c>
      <c r="B118" s="7" t="s">
        <v>26</v>
      </c>
      <c r="C118" s="7" t="s">
        <v>27</v>
      </c>
      <c r="D118" s="7" t="s">
        <v>28</v>
      </c>
      <c r="E118" s="7" t="s">
        <v>29</v>
      </c>
      <c r="F118" s="7" t="s">
        <v>30</v>
      </c>
      <c r="G118" s="7" t="s">
        <v>31</v>
      </c>
      <c r="H118" s="7" t="s">
        <v>32</v>
      </c>
      <c r="I118" s="7" t="s">
        <v>33</v>
      </c>
      <c r="J118" s="7" t="s">
        <v>34</v>
      </c>
      <c r="K118" s="7" t="s">
        <v>35</v>
      </c>
      <c r="L118" s="7" t="s">
        <v>36</v>
      </c>
    </row>
    <row r="119" spans="1:12" x14ac:dyDescent="0.35">
      <c r="A119" s="7" t="s">
        <v>119</v>
      </c>
      <c r="B119" s="7" t="s">
        <v>120</v>
      </c>
      <c r="C119" s="7" t="s">
        <v>112</v>
      </c>
      <c r="D119" s="7">
        <v>800</v>
      </c>
      <c r="E119" s="7">
        <v>21</v>
      </c>
      <c r="F119" s="7">
        <v>800</v>
      </c>
      <c r="G119" s="7">
        <v>200</v>
      </c>
      <c r="H119" s="7">
        <v>26</v>
      </c>
      <c r="I119" s="7">
        <v>1026</v>
      </c>
      <c r="J119" s="7">
        <v>91</v>
      </c>
      <c r="K119" s="7">
        <v>91</v>
      </c>
      <c r="L119" s="7">
        <v>935</v>
      </c>
    </row>
    <row r="120" spans="1:12" ht="9.9499999999999993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x14ac:dyDescent="0.35">
      <c r="A121" s="7" t="s">
        <v>25</v>
      </c>
      <c r="B121" s="7" t="s">
        <v>26</v>
      </c>
      <c r="C121" s="7" t="s">
        <v>27</v>
      </c>
      <c r="D121" s="7" t="s">
        <v>28</v>
      </c>
      <c r="E121" s="7" t="s">
        <v>29</v>
      </c>
      <c r="F121" s="7" t="s">
        <v>30</v>
      </c>
      <c r="G121" s="7" t="s">
        <v>31</v>
      </c>
      <c r="H121" s="7" t="s">
        <v>32</v>
      </c>
      <c r="I121" s="7" t="s">
        <v>33</v>
      </c>
      <c r="J121" s="7" t="s">
        <v>34</v>
      </c>
      <c r="K121" s="7" t="s">
        <v>35</v>
      </c>
      <c r="L121" s="7" t="s">
        <v>36</v>
      </c>
    </row>
    <row r="122" spans="1:12" x14ac:dyDescent="0.35">
      <c r="A122" s="7" t="s">
        <v>121</v>
      </c>
      <c r="B122" s="7" t="s">
        <v>122</v>
      </c>
      <c r="C122" s="7" t="s">
        <v>112</v>
      </c>
      <c r="D122" s="7">
        <v>800</v>
      </c>
      <c r="E122" s="7">
        <v>21</v>
      </c>
      <c r="F122" s="7">
        <v>800</v>
      </c>
      <c r="G122" s="7">
        <v>205</v>
      </c>
      <c r="H122" s="7">
        <v>25</v>
      </c>
      <c r="I122" s="7">
        <v>1030</v>
      </c>
      <c r="J122" s="7">
        <v>90</v>
      </c>
      <c r="K122" s="7">
        <v>90</v>
      </c>
      <c r="L122" s="7">
        <v>940</v>
      </c>
    </row>
    <row r="123" spans="1:12" ht="9.9499999999999993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35">
      <c r="A124" s="7" t="s">
        <v>25</v>
      </c>
      <c r="B124" s="7" t="s">
        <v>26</v>
      </c>
      <c r="C124" s="7" t="s">
        <v>27</v>
      </c>
      <c r="D124" s="7" t="s">
        <v>28</v>
      </c>
      <c r="E124" s="7" t="s">
        <v>29</v>
      </c>
      <c r="F124" s="7" t="s">
        <v>30</v>
      </c>
      <c r="G124" s="7" t="s">
        <v>31</v>
      </c>
      <c r="H124" s="7" t="s">
        <v>32</v>
      </c>
      <c r="I124" s="7" t="s">
        <v>33</v>
      </c>
      <c r="J124" s="7" t="s">
        <v>34</v>
      </c>
      <c r="K124" s="7" t="s">
        <v>35</v>
      </c>
      <c r="L124" s="7" t="s">
        <v>36</v>
      </c>
    </row>
    <row r="125" spans="1:12" x14ac:dyDescent="0.35">
      <c r="A125" s="7" t="s">
        <v>123</v>
      </c>
      <c r="B125" s="7" t="s">
        <v>124</v>
      </c>
      <c r="C125" s="7" t="s">
        <v>112</v>
      </c>
      <c r="D125" s="7">
        <v>800</v>
      </c>
      <c r="E125" s="7">
        <v>21</v>
      </c>
      <c r="F125" s="7">
        <v>800</v>
      </c>
      <c r="G125" s="7">
        <v>210</v>
      </c>
      <c r="H125" s="7">
        <v>24</v>
      </c>
      <c r="I125" s="7">
        <v>1034</v>
      </c>
      <c r="J125" s="7">
        <v>89</v>
      </c>
      <c r="K125" s="7">
        <v>89</v>
      </c>
      <c r="L125" s="7">
        <v>945</v>
      </c>
    </row>
    <row r="126" spans="1:12" ht="9.9499999999999993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x14ac:dyDescent="0.35">
      <c r="A127" s="7" t="s">
        <v>25</v>
      </c>
      <c r="B127" s="7" t="s">
        <v>26</v>
      </c>
      <c r="C127" s="7" t="s">
        <v>27</v>
      </c>
      <c r="D127" s="7" t="s">
        <v>28</v>
      </c>
      <c r="E127" s="7" t="s">
        <v>29</v>
      </c>
      <c r="F127" s="7" t="s">
        <v>30</v>
      </c>
      <c r="G127" s="7" t="s">
        <v>31</v>
      </c>
      <c r="H127" s="7" t="s">
        <v>32</v>
      </c>
      <c r="I127" s="7" t="s">
        <v>33</v>
      </c>
      <c r="J127" s="7" t="s">
        <v>34</v>
      </c>
      <c r="K127" s="7" t="s">
        <v>35</v>
      </c>
      <c r="L127" s="7" t="s">
        <v>36</v>
      </c>
    </row>
    <row r="128" spans="1:12" x14ac:dyDescent="0.35">
      <c r="A128" s="7" t="s">
        <v>125</v>
      </c>
      <c r="B128" s="7" t="s">
        <v>126</v>
      </c>
      <c r="C128" s="7" t="s">
        <v>112</v>
      </c>
      <c r="D128" s="7">
        <v>800</v>
      </c>
      <c r="E128" s="7">
        <v>21</v>
      </c>
      <c r="F128" s="7">
        <v>800</v>
      </c>
      <c r="G128" s="7">
        <v>215</v>
      </c>
      <c r="H128" s="7">
        <v>23</v>
      </c>
      <c r="I128" s="7">
        <v>1038</v>
      </c>
      <c r="J128" s="7">
        <v>88</v>
      </c>
      <c r="K128" s="7">
        <v>88</v>
      </c>
      <c r="L128" s="7">
        <v>950</v>
      </c>
    </row>
    <row r="129" spans="1:12" ht="9.9499999999999993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35">
      <c r="A130" s="7" t="s">
        <v>25</v>
      </c>
      <c r="B130" s="7" t="s">
        <v>26</v>
      </c>
      <c r="C130" s="7" t="s">
        <v>27</v>
      </c>
      <c r="D130" s="7" t="s">
        <v>28</v>
      </c>
      <c r="E130" s="7" t="s">
        <v>29</v>
      </c>
      <c r="F130" s="7" t="s">
        <v>30</v>
      </c>
      <c r="G130" s="7" t="s">
        <v>31</v>
      </c>
      <c r="H130" s="7" t="s">
        <v>32</v>
      </c>
      <c r="I130" s="7" t="s">
        <v>33</v>
      </c>
      <c r="J130" s="7" t="s">
        <v>34</v>
      </c>
      <c r="K130" s="7" t="s">
        <v>35</v>
      </c>
      <c r="L130" s="7" t="s">
        <v>36</v>
      </c>
    </row>
    <row r="131" spans="1:12" x14ac:dyDescent="0.35">
      <c r="A131" s="7" t="s">
        <v>127</v>
      </c>
      <c r="B131" s="7" t="s">
        <v>128</v>
      </c>
      <c r="C131" s="7" t="s">
        <v>112</v>
      </c>
      <c r="D131" s="7">
        <v>800</v>
      </c>
      <c r="E131" s="7">
        <v>21</v>
      </c>
      <c r="F131" s="7">
        <v>800</v>
      </c>
      <c r="G131" s="7">
        <v>220</v>
      </c>
      <c r="H131" s="7">
        <v>22</v>
      </c>
      <c r="I131" s="7">
        <v>1042</v>
      </c>
      <c r="J131" s="7">
        <v>87</v>
      </c>
      <c r="K131" s="7">
        <v>87</v>
      </c>
      <c r="L131" s="7">
        <v>955</v>
      </c>
    </row>
    <row r="132" spans="1:12" ht="9.9499999999999993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x14ac:dyDescent="0.35">
      <c r="A133" s="7" t="s">
        <v>25</v>
      </c>
      <c r="B133" s="7" t="s">
        <v>26</v>
      </c>
      <c r="C133" s="7" t="s">
        <v>27</v>
      </c>
      <c r="D133" s="7" t="s">
        <v>28</v>
      </c>
      <c r="E133" s="7" t="s">
        <v>29</v>
      </c>
      <c r="F133" s="7" t="s">
        <v>30</v>
      </c>
      <c r="G133" s="7" t="s">
        <v>31</v>
      </c>
      <c r="H133" s="7" t="s">
        <v>32</v>
      </c>
      <c r="I133" s="7" t="s">
        <v>33</v>
      </c>
      <c r="J133" s="7" t="s">
        <v>34</v>
      </c>
      <c r="K133" s="7" t="s">
        <v>35</v>
      </c>
      <c r="L133" s="7" t="s">
        <v>36</v>
      </c>
    </row>
    <row r="134" spans="1:12" x14ac:dyDescent="0.35">
      <c r="A134" s="7" t="s">
        <v>129</v>
      </c>
      <c r="B134" s="7" t="s">
        <v>130</v>
      </c>
      <c r="C134" s="7" t="s">
        <v>112</v>
      </c>
      <c r="D134" s="7">
        <v>800</v>
      </c>
      <c r="E134" s="7">
        <v>21</v>
      </c>
      <c r="F134" s="7">
        <v>800</v>
      </c>
      <c r="G134" s="7">
        <v>225</v>
      </c>
      <c r="H134" s="7">
        <v>21</v>
      </c>
      <c r="I134" s="7">
        <v>1046</v>
      </c>
      <c r="J134" s="7">
        <v>86</v>
      </c>
      <c r="K134" s="7">
        <v>86</v>
      </c>
      <c r="L134" s="7">
        <v>960</v>
      </c>
    </row>
    <row r="135" spans="1:12" ht="9.9499999999999993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35">
      <c r="A136" s="7" t="s">
        <v>25</v>
      </c>
      <c r="B136" s="7" t="s">
        <v>26</v>
      </c>
      <c r="C136" s="7" t="s">
        <v>27</v>
      </c>
      <c r="D136" s="7" t="s">
        <v>28</v>
      </c>
      <c r="E136" s="7" t="s">
        <v>29</v>
      </c>
      <c r="F136" s="7" t="s">
        <v>30</v>
      </c>
      <c r="G136" s="7" t="s">
        <v>31</v>
      </c>
      <c r="H136" s="7" t="s">
        <v>32</v>
      </c>
      <c r="I136" s="7" t="s">
        <v>33</v>
      </c>
      <c r="J136" s="7" t="s">
        <v>34</v>
      </c>
      <c r="K136" s="7" t="s">
        <v>35</v>
      </c>
      <c r="L136" s="7" t="s">
        <v>36</v>
      </c>
    </row>
    <row r="137" spans="1:12" x14ac:dyDescent="0.35">
      <c r="A137" s="7" t="s">
        <v>131</v>
      </c>
      <c r="B137" s="7" t="s">
        <v>132</v>
      </c>
      <c r="C137" s="7" t="s">
        <v>112</v>
      </c>
      <c r="D137" s="7">
        <v>800</v>
      </c>
      <c r="E137" s="7">
        <v>21</v>
      </c>
      <c r="F137" s="7">
        <v>800</v>
      </c>
      <c r="G137" s="7">
        <v>230</v>
      </c>
      <c r="H137" s="7">
        <v>20</v>
      </c>
      <c r="I137" s="7">
        <v>1050</v>
      </c>
      <c r="J137" s="7">
        <v>85</v>
      </c>
      <c r="K137" s="7">
        <v>85</v>
      </c>
      <c r="L137" s="7">
        <v>965</v>
      </c>
    </row>
    <row r="138" spans="1:12" ht="9.9499999999999993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35">
      <c r="A139" s="7" t="s">
        <v>25</v>
      </c>
      <c r="B139" s="7" t="s">
        <v>26</v>
      </c>
      <c r="C139" s="7" t="s">
        <v>27</v>
      </c>
      <c r="D139" s="7" t="s">
        <v>28</v>
      </c>
      <c r="E139" s="7" t="s">
        <v>29</v>
      </c>
      <c r="F139" s="7" t="s">
        <v>30</v>
      </c>
      <c r="G139" s="7" t="s">
        <v>31</v>
      </c>
      <c r="H139" s="7" t="s">
        <v>32</v>
      </c>
      <c r="I139" s="7" t="s">
        <v>33</v>
      </c>
      <c r="J139" s="7" t="s">
        <v>34</v>
      </c>
      <c r="K139" s="7" t="s">
        <v>35</v>
      </c>
      <c r="L139" s="7" t="s">
        <v>36</v>
      </c>
    </row>
    <row r="140" spans="1:12" x14ac:dyDescent="0.35">
      <c r="A140" s="7" t="s">
        <v>133</v>
      </c>
      <c r="B140" s="7" t="s">
        <v>134</v>
      </c>
      <c r="C140" s="7" t="s">
        <v>112</v>
      </c>
      <c r="D140" s="7">
        <v>800</v>
      </c>
      <c r="E140" s="7">
        <v>21</v>
      </c>
      <c r="F140" s="7">
        <v>800</v>
      </c>
      <c r="G140" s="7">
        <v>235</v>
      </c>
      <c r="H140" s="7">
        <v>19</v>
      </c>
      <c r="I140" s="7">
        <v>1054</v>
      </c>
      <c r="J140" s="7">
        <v>84</v>
      </c>
      <c r="K140" s="7">
        <v>84</v>
      </c>
      <c r="L140" s="7">
        <v>970</v>
      </c>
    </row>
    <row r="141" spans="1:12" ht="9.9499999999999993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35">
      <c r="A142" s="7" t="s">
        <v>25</v>
      </c>
      <c r="B142" s="7" t="s">
        <v>26</v>
      </c>
      <c r="C142" s="7" t="s">
        <v>27</v>
      </c>
      <c r="D142" s="7" t="s">
        <v>28</v>
      </c>
      <c r="E142" s="7" t="s">
        <v>29</v>
      </c>
      <c r="F142" s="7" t="s">
        <v>30</v>
      </c>
      <c r="G142" s="7" t="s">
        <v>31</v>
      </c>
      <c r="H142" s="7" t="s">
        <v>32</v>
      </c>
      <c r="I142" s="7" t="s">
        <v>33</v>
      </c>
      <c r="J142" s="7" t="s">
        <v>34</v>
      </c>
      <c r="K142" s="7" t="s">
        <v>35</v>
      </c>
      <c r="L142" s="7" t="s">
        <v>36</v>
      </c>
    </row>
    <row r="143" spans="1:12" x14ac:dyDescent="0.35">
      <c r="A143" s="7" t="s">
        <v>135</v>
      </c>
      <c r="B143" s="7" t="s">
        <v>136</v>
      </c>
      <c r="C143" s="7" t="s">
        <v>112</v>
      </c>
      <c r="D143" s="7">
        <v>800</v>
      </c>
      <c r="E143" s="7">
        <v>21</v>
      </c>
      <c r="F143" s="7">
        <v>800</v>
      </c>
      <c r="G143" s="7">
        <v>240</v>
      </c>
      <c r="H143" s="7">
        <v>18</v>
      </c>
      <c r="I143" s="7">
        <v>1058</v>
      </c>
      <c r="J143" s="7">
        <v>83</v>
      </c>
      <c r="K143" s="7">
        <v>83</v>
      </c>
      <c r="L143" s="7">
        <v>975</v>
      </c>
    </row>
    <row r="144" spans="1:12" ht="9.9499999999999993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35">
      <c r="A145" s="7" t="s">
        <v>25</v>
      </c>
      <c r="B145" s="7" t="s">
        <v>26</v>
      </c>
      <c r="C145" s="7" t="s">
        <v>27</v>
      </c>
      <c r="D145" s="7" t="s">
        <v>28</v>
      </c>
      <c r="E145" s="7" t="s">
        <v>29</v>
      </c>
      <c r="F145" s="7" t="s">
        <v>30</v>
      </c>
      <c r="G145" s="7" t="s">
        <v>31</v>
      </c>
      <c r="H145" s="7" t="s">
        <v>32</v>
      </c>
      <c r="I145" s="7" t="s">
        <v>33</v>
      </c>
      <c r="J145" s="7" t="s">
        <v>34</v>
      </c>
      <c r="K145" s="7" t="s">
        <v>35</v>
      </c>
      <c r="L145" s="7" t="s">
        <v>36</v>
      </c>
    </row>
    <row r="146" spans="1:12" x14ac:dyDescent="0.35">
      <c r="A146" s="7" t="s">
        <v>137</v>
      </c>
      <c r="B146" s="7" t="s">
        <v>138</v>
      </c>
      <c r="C146" s="7" t="s">
        <v>112</v>
      </c>
      <c r="D146" s="7">
        <v>800</v>
      </c>
      <c r="E146" s="7">
        <v>21</v>
      </c>
      <c r="F146" s="7">
        <v>800</v>
      </c>
      <c r="G146" s="7">
        <v>245</v>
      </c>
      <c r="H146" s="7">
        <v>17</v>
      </c>
      <c r="I146" s="7">
        <v>1062</v>
      </c>
      <c r="J146" s="7">
        <v>82</v>
      </c>
      <c r="K146" s="7">
        <v>82</v>
      </c>
      <c r="L146" s="7">
        <v>980</v>
      </c>
    </row>
    <row r="147" spans="1:12" ht="9.9499999999999993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35">
      <c r="A148" s="7" t="s">
        <v>25</v>
      </c>
      <c r="B148" s="7" t="s">
        <v>26</v>
      </c>
      <c r="C148" s="7" t="s">
        <v>27</v>
      </c>
      <c r="D148" s="7" t="s">
        <v>28</v>
      </c>
      <c r="E148" s="7" t="s">
        <v>29</v>
      </c>
      <c r="F148" s="7" t="s">
        <v>30</v>
      </c>
      <c r="G148" s="7" t="s">
        <v>31</v>
      </c>
      <c r="H148" s="7" t="s">
        <v>32</v>
      </c>
      <c r="I148" s="7" t="s">
        <v>33</v>
      </c>
      <c r="J148" s="7" t="s">
        <v>34</v>
      </c>
      <c r="K148" s="7" t="s">
        <v>35</v>
      </c>
      <c r="L148" s="7" t="s">
        <v>36</v>
      </c>
    </row>
    <row r="149" spans="1:12" x14ac:dyDescent="0.35">
      <c r="A149" s="7" t="s">
        <v>139</v>
      </c>
      <c r="B149" s="7" t="s">
        <v>140</v>
      </c>
      <c r="C149" s="7" t="s">
        <v>112</v>
      </c>
      <c r="D149" s="7">
        <v>800</v>
      </c>
      <c r="E149" s="7">
        <v>21</v>
      </c>
      <c r="F149" s="7">
        <v>800</v>
      </c>
      <c r="G149" s="7">
        <v>250</v>
      </c>
      <c r="H149" s="7">
        <v>16</v>
      </c>
      <c r="I149" s="7">
        <v>1066</v>
      </c>
      <c r="J149" s="7">
        <v>81</v>
      </c>
      <c r="K149" s="7">
        <v>81</v>
      </c>
      <c r="L149" s="7">
        <v>985</v>
      </c>
    </row>
    <row r="150" spans="1:12" ht="9.9499999999999993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35">
      <c r="A151" s="7" t="s">
        <v>25</v>
      </c>
      <c r="B151" s="7" t="s">
        <v>26</v>
      </c>
      <c r="C151" s="7" t="s">
        <v>27</v>
      </c>
      <c r="D151" s="7" t="s">
        <v>28</v>
      </c>
      <c r="E151" s="7" t="s">
        <v>29</v>
      </c>
      <c r="F151" s="7" t="s">
        <v>30</v>
      </c>
      <c r="G151" s="7" t="s">
        <v>31</v>
      </c>
      <c r="H151" s="7" t="s">
        <v>32</v>
      </c>
      <c r="I151" s="7" t="s">
        <v>33</v>
      </c>
      <c r="J151" s="7" t="s">
        <v>34</v>
      </c>
      <c r="K151" s="7" t="s">
        <v>35</v>
      </c>
      <c r="L151" s="7" t="s">
        <v>36</v>
      </c>
    </row>
    <row r="152" spans="1:12" x14ac:dyDescent="0.35">
      <c r="A152" s="7" t="s">
        <v>141</v>
      </c>
      <c r="B152" s="7" t="s">
        <v>142</v>
      </c>
      <c r="C152" s="7" t="s">
        <v>112</v>
      </c>
      <c r="D152" s="7">
        <v>800</v>
      </c>
      <c r="E152" s="7">
        <v>21</v>
      </c>
      <c r="F152" s="7">
        <v>800</v>
      </c>
      <c r="G152" s="7">
        <v>255</v>
      </c>
      <c r="H152" s="7">
        <v>15</v>
      </c>
      <c r="I152" s="7">
        <v>1070</v>
      </c>
      <c r="J152" s="7">
        <v>80</v>
      </c>
      <c r="K152" s="7">
        <v>80</v>
      </c>
      <c r="L152" s="7">
        <v>990</v>
      </c>
    </row>
    <row r="153" spans="1:12" ht="9.9499999999999993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35">
      <c r="A154" s="7" t="s">
        <v>25</v>
      </c>
      <c r="B154" s="7" t="s">
        <v>26</v>
      </c>
      <c r="C154" s="7" t="s">
        <v>27</v>
      </c>
      <c r="D154" s="7" t="s">
        <v>28</v>
      </c>
      <c r="E154" s="7" t="s">
        <v>29</v>
      </c>
      <c r="F154" s="7" t="s">
        <v>30</v>
      </c>
      <c r="G154" s="7" t="s">
        <v>31</v>
      </c>
      <c r="H154" s="7" t="s">
        <v>32</v>
      </c>
      <c r="I154" s="7" t="s">
        <v>33</v>
      </c>
      <c r="J154" s="7" t="s">
        <v>34</v>
      </c>
      <c r="K154" s="7" t="s">
        <v>35</v>
      </c>
      <c r="L154" s="7" t="s">
        <v>36</v>
      </c>
    </row>
    <row r="155" spans="1:12" x14ac:dyDescent="0.35">
      <c r="A155" s="7" t="s">
        <v>143</v>
      </c>
      <c r="B155" s="7" t="s">
        <v>144</v>
      </c>
      <c r="C155" s="7" t="s">
        <v>112</v>
      </c>
      <c r="D155" s="7">
        <v>800</v>
      </c>
      <c r="E155" s="7">
        <v>21</v>
      </c>
      <c r="F155" s="7">
        <v>800</v>
      </c>
      <c r="G155" s="7">
        <v>260</v>
      </c>
      <c r="H155" s="7">
        <v>14</v>
      </c>
      <c r="I155" s="7">
        <v>1074</v>
      </c>
      <c r="J155" s="7">
        <v>79</v>
      </c>
      <c r="K155" s="7">
        <v>79</v>
      </c>
      <c r="L155" s="7">
        <v>995</v>
      </c>
    </row>
    <row r="156" spans="1:12" ht="9.9499999999999993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35">
      <c r="A157" s="7" t="s">
        <v>25</v>
      </c>
      <c r="B157" s="7" t="s">
        <v>26</v>
      </c>
      <c r="C157" s="7" t="s">
        <v>27</v>
      </c>
      <c r="D157" s="7" t="s">
        <v>28</v>
      </c>
      <c r="E157" s="7" t="s">
        <v>29</v>
      </c>
      <c r="F157" s="7" t="s">
        <v>30</v>
      </c>
      <c r="G157" s="7" t="s">
        <v>31</v>
      </c>
      <c r="H157" s="7" t="s">
        <v>32</v>
      </c>
      <c r="I157" s="7" t="s">
        <v>33</v>
      </c>
      <c r="J157" s="7" t="s">
        <v>34</v>
      </c>
      <c r="K157" s="7" t="s">
        <v>35</v>
      </c>
      <c r="L157" s="7" t="s">
        <v>36</v>
      </c>
    </row>
    <row r="158" spans="1:12" x14ac:dyDescent="0.35">
      <c r="A158" s="7" t="s">
        <v>145</v>
      </c>
      <c r="B158" s="7" t="s">
        <v>146</v>
      </c>
      <c r="C158" s="7" t="s">
        <v>112</v>
      </c>
      <c r="D158" s="7">
        <v>800</v>
      </c>
      <c r="E158" s="7">
        <v>21</v>
      </c>
      <c r="F158" s="7">
        <v>800</v>
      </c>
      <c r="G158" s="7">
        <v>265</v>
      </c>
      <c r="H158" s="7">
        <v>13</v>
      </c>
      <c r="I158" s="7">
        <v>1078</v>
      </c>
      <c r="J158" s="7">
        <v>78</v>
      </c>
      <c r="K158" s="7">
        <v>78</v>
      </c>
      <c r="L158" s="7">
        <v>1000</v>
      </c>
    </row>
    <row r="159" spans="1:12" ht="9.9499999999999993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35">
      <c r="A160" s="7" t="s">
        <v>25</v>
      </c>
      <c r="B160" s="7" t="s">
        <v>26</v>
      </c>
      <c r="C160" s="7" t="s">
        <v>27</v>
      </c>
      <c r="D160" s="7" t="s">
        <v>28</v>
      </c>
      <c r="E160" s="7" t="s">
        <v>29</v>
      </c>
      <c r="F160" s="7" t="s">
        <v>30</v>
      </c>
      <c r="G160" s="7" t="s">
        <v>31</v>
      </c>
      <c r="H160" s="7" t="s">
        <v>32</v>
      </c>
      <c r="I160" s="7" t="s">
        <v>33</v>
      </c>
      <c r="J160" s="7" t="s">
        <v>34</v>
      </c>
      <c r="K160" s="7" t="s">
        <v>35</v>
      </c>
      <c r="L160" s="7" t="s">
        <v>36</v>
      </c>
    </row>
    <row r="161" spans="1:12" x14ac:dyDescent="0.35">
      <c r="A161" s="7" t="s">
        <v>147</v>
      </c>
      <c r="B161" s="7" t="s">
        <v>148</v>
      </c>
      <c r="C161" s="7" t="s">
        <v>112</v>
      </c>
      <c r="D161" s="7">
        <v>800</v>
      </c>
      <c r="E161" s="7">
        <v>21</v>
      </c>
      <c r="F161" s="7">
        <v>800</v>
      </c>
      <c r="G161" s="7">
        <v>270</v>
      </c>
      <c r="H161" s="7">
        <v>12</v>
      </c>
      <c r="I161" s="7">
        <v>1082</v>
      </c>
      <c r="J161" s="7">
        <v>77</v>
      </c>
      <c r="K161" s="7">
        <v>77</v>
      </c>
      <c r="L161" s="7">
        <v>1005</v>
      </c>
    </row>
    <row r="162" spans="1:12" ht="9.9499999999999993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35">
      <c r="A163" s="7" t="s">
        <v>25</v>
      </c>
      <c r="B163" s="7" t="s">
        <v>26</v>
      </c>
      <c r="C163" s="7" t="s">
        <v>27</v>
      </c>
      <c r="D163" s="7" t="s">
        <v>28</v>
      </c>
      <c r="E163" s="7" t="s">
        <v>29</v>
      </c>
      <c r="F163" s="7" t="s">
        <v>30</v>
      </c>
      <c r="G163" s="7" t="s">
        <v>31</v>
      </c>
      <c r="H163" s="7" t="s">
        <v>32</v>
      </c>
      <c r="I163" s="7" t="s">
        <v>33</v>
      </c>
      <c r="J163" s="7" t="s">
        <v>34</v>
      </c>
      <c r="K163" s="7" t="s">
        <v>35</v>
      </c>
      <c r="L163" s="7" t="s">
        <v>36</v>
      </c>
    </row>
    <row r="164" spans="1:12" x14ac:dyDescent="0.35">
      <c r="A164" s="7" t="s">
        <v>149</v>
      </c>
      <c r="B164" s="7" t="s">
        <v>150</v>
      </c>
      <c r="C164" s="7" t="s">
        <v>112</v>
      </c>
      <c r="D164" s="7">
        <v>800</v>
      </c>
      <c r="E164" s="7">
        <v>21</v>
      </c>
      <c r="F164" s="7">
        <v>800</v>
      </c>
      <c r="G164" s="7">
        <v>275</v>
      </c>
      <c r="H164" s="7">
        <v>11</v>
      </c>
      <c r="I164" s="7">
        <v>1086</v>
      </c>
      <c r="J164" s="7">
        <v>76</v>
      </c>
      <c r="K164" s="7">
        <v>76</v>
      </c>
      <c r="L164" s="7">
        <v>1010</v>
      </c>
    </row>
    <row r="165" spans="1:12" ht="9.9499999999999993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35">
      <c r="A166" s="7" t="s">
        <v>25</v>
      </c>
      <c r="B166" s="7" t="s">
        <v>26</v>
      </c>
      <c r="C166" s="7" t="s">
        <v>27</v>
      </c>
      <c r="D166" s="7" t="s">
        <v>28</v>
      </c>
      <c r="E166" s="7" t="s">
        <v>29</v>
      </c>
      <c r="F166" s="7" t="s">
        <v>30</v>
      </c>
      <c r="G166" s="7" t="s">
        <v>31</v>
      </c>
      <c r="H166" s="7" t="s">
        <v>32</v>
      </c>
      <c r="I166" s="7" t="s">
        <v>33</v>
      </c>
      <c r="J166" s="7" t="s">
        <v>34</v>
      </c>
      <c r="K166" s="7" t="s">
        <v>35</v>
      </c>
      <c r="L166" s="7" t="s">
        <v>36</v>
      </c>
    </row>
    <row r="167" spans="1:12" x14ac:dyDescent="0.35">
      <c r="A167" s="7" t="s">
        <v>151</v>
      </c>
      <c r="B167" s="7" t="s">
        <v>152</v>
      </c>
      <c r="C167" s="7" t="s">
        <v>112</v>
      </c>
      <c r="D167" s="7">
        <v>800</v>
      </c>
      <c r="E167" s="7">
        <v>21</v>
      </c>
      <c r="F167" s="7">
        <v>800</v>
      </c>
      <c r="G167" s="7">
        <v>280</v>
      </c>
      <c r="H167" s="7">
        <v>10</v>
      </c>
      <c r="I167" s="7">
        <v>1090</v>
      </c>
      <c r="J167" s="7">
        <v>75</v>
      </c>
      <c r="K167" s="7">
        <v>75</v>
      </c>
      <c r="L167" s="7">
        <v>1015</v>
      </c>
    </row>
    <row r="168" spans="1:12" ht="9.9499999999999993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x14ac:dyDescent="0.35">
      <c r="A169" s="7" t="s">
        <v>25</v>
      </c>
      <c r="B169" s="7" t="s">
        <v>26</v>
      </c>
      <c r="C169" s="7" t="s">
        <v>27</v>
      </c>
      <c r="D169" s="7" t="s">
        <v>28</v>
      </c>
      <c r="E169" s="7" t="s">
        <v>29</v>
      </c>
      <c r="F169" s="7" t="s">
        <v>30</v>
      </c>
      <c r="G169" s="7" t="s">
        <v>31</v>
      </c>
      <c r="H169" s="7" t="s">
        <v>32</v>
      </c>
      <c r="I169" s="7" t="s">
        <v>33</v>
      </c>
      <c r="J169" s="7" t="s">
        <v>34</v>
      </c>
      <c r="K169" s="7" t="s">
        <v>35</v>
      </c>
      <c r="L169" s="7" t="s">
        <v>36</v>
      </c>
    </row>
    <row r="170" spans="1:12" x14ac:dyDescent="0.35">
      <c r="A170" s="7" t="s">
        <v>153</v>
      </c>
      <c r="B170" s="7" t="s">
        <v>154</v>
      </c>
      <c r="C170" s="7" t="s">
        <v>112</v>
      </c>
      <c r="D170" s="7">
        <v>800</v>
      </c>
      <c r="E170" s="7">
        <v>21</v>
      </c>
      <c r="F170" s="7">
        <v>800</v>
      </c>
      <c r="G170" s="7">
        <v>285</v>
      </c>
      <c r="H170" s="7">
        <v>9</v>
      </c>
      <c r="I170" s="7">
        <v>1094</v>
      </c>
      <c r="J170" s="7">
        <v>74</v>
      </c>
      <c r="K170" s="7">
        <v>74</v>
      </c>
      <c r="L170" s="7">
        <v>1020</v>
      </c>
    </row>
    <row r="171" spans="1:12" ht="9.9499999999999993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35">
      <c r="A172" s="7" t="s">
        <v>25</v>
      </c>
      <c r="B172" s="7" t="s">
        <v>26</v>
      </c>
      <c r="C172" s="7" t="s">
        <v>27</v>
      </c>
      <c r="D172" s="7" t="s">
        <v>28</v>
      </c>
      <c r="E172" s="7" t="s">
        <v>29</v>
      </c>
      <c r="F172" s="7" t="s">
        <v>30</v>
      </c>
      <c r="G172" s="7" t="s">
        <v>31</v>
      </c>
      <c r="H172" s="7" t="s">
        <v>32</v>
      </c>
      <c r="I172" s="7" t="s">
        <v>33</v>
      </c>
      <c r="J172" s="7" t="s">
        <v>34</v>
      </c>
      <c r="K172" s="7" t="s">
        <v>35</v>
      </c>
      <c r="L172" s="7" t="s">
        <v>36</v>
      </c>
    </row>
    <row r="173" spans="1:12" x14ac:dyDescent="0.35">
      <c r="A173" s="7" t="s">
        <v>155</v>
      </c>
      <c r="B173" s="7" t="s">
        <v>156</v>
      </c>
      <c r="C173" s="7" t="s">
        <v>112</v>
      </c>
      <c r="D173" s="7">
        <v>800</v>
      </c>
      <c r="E173" s="7">
        <v>21</v>
      </c>
      <c r="F173" s="7">
        <v>800</v>
      </c>
      <c r="G173" s="7">
        <v>290</v>
      </c>
      <c r="H173" s="7">
        <v>8</v>
      </c>
      <c r="I173" s="7">
        <v>1098</v>
      </c>
      <c r="J173" s="7">
        <v>73</v>
      </c>
      <c r="K173" s="7">
        <v>73</v>
      </c>
      <c r="L173" s="7">
        <v>1025</v>
      </c>
    </row>
    <row r="174" spans="1:12" ht="9.9499999999999993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35">
      <c r="A175" s="7" t="s">
        <v>25</v>
      </c>
      <c r="B175" s="7" t="s">
        <v>26</v>
      </c>
      <c r="C175" s="7" t="s">
        <v>27</v>
      </c>
      <c r="D175" s="7" t="s">
        <v>28</v>
      </c>
      <c r="E175" s="7" t="s">
        <v>29</v>
      </c>
      <c r="F175" s="7" t="s">
        <v>30</v>
      </c>
      <c r="G175" s="7" t="s">
        <v>31</v>
      </c>
      <c r="H175" s="7" t="s">
        <v>32</v>
      </c>
      <c r="I175" s="7" t="s">
        <v>33</v>
      </c>
      <c r="J175" s="7" t="s">
        <v>34</v>
      </c>
      <c r="K175" s="7" t="s">
        <v>35</v>
      </c>
      <c r="L175" s="7" t="s">
        <v>36</v>
      </c>
    </row>
    <row r="176" spans="1:12" x14ac:dyDescent="0.35">
      <c r="A176" s="7" t="s">
        <v>157</v>
      </c>
      <c r="B176" s="7" t="s">
        <v>158</v>
      </c>
      <c r="C176" s="7" t="s">
        <v>112</v>
      </c>
      <c r="D176" s="7">
        <v>800</v>
      </c>
      <c r="E176" s="7">
        <v>21</v>
      </c>
      <c r="F176" s="7">
        <v>800</v>
      </c>
      <c r="G176" s="7">
        <v>295</v>
      </c>
      <c r="H176" s="7">
        <v>7</v>
      </c>
      <c r="I176" s="7">
        <v>1102</v>
      </c>
      <c r="J176" s="7">
        <v>72</v>
      </c>
      <c r="K176" s="7">
        <v>72</v>
      </c>
      <c r="L176" s="7">
        <v>1030</v>
      </c>
    </row>
    <row r="177" spans="1:12" ht="9.9499999999999993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x14ac:dyDescent="0.35">
      <c r="A178" s="7" t="s">
        <v>25</v>
      </c>
      <c r="B178" s="7" t="s">
        <v>26</v>
      </c>
      <c r="C178" s="7" t="s">
        <v>27</v>
      </c>
      <c r="D178" s="7" t="s">
        <v>28</v>
      </c>
      <c r="E178" s="7" t="s">
        <v>29</v>
      </c>
      <c r="F178" s="7" t="s">
        <v>30</v>
      </c>
      <c r="G178" s="7" t="s">
        <v>31</v>
      </c>
      <c r="H178" s="7" t="s">
        <v>32</v>
      </c>
      <c r="I178" s="7" t="s">
        <v>33</v>
      </c>
      <c r="J178" s="7" t="s">
        <v>34</v>
      </c>
      <c r="K178" s="7" t="s">
        <v>35</v>
      </c>
      <c r="L178" s="7" t="s">
        <v>36</v>
      </c>
    </row>
    <row r="179" spans="1:12" x14ac:dyDescent="0.35">
      <c r="A179" s="7" t="s">
        <v>159</v>
      </c>
      <c r="B179" s="7" t="s">
        <v>160</v>
      </c>
      <c r="C179" s="7" t="s">
        <v>112</v>
      </c>
      <c r="D179" s="7">
        <v>800</v>
      </c>
      <c r="E179" s="7">
        <v>21</v>
      </c>
      <c r="F179" s="7">
        <v>800</v>
      </c>
      <c r="G179" s="7">
        <v>300</v>
      </c>
      <c r="H179" s="7">
        <v>6</v>
      </c>
      <c r="I179" s="7">
        <v>1106</v>
      </c>
      <c r="J179" s="7">
        <v>71</v>
      </c>
      <c r="K179" s="7">
        <v>71</v>
      </c>
      <c r="L179" s="7">
        <v>1035</v>
      </c>
    </row>
    <row r="180" spans="1:12" ht="9.9499999999999993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35">
      <c r="A181" s="7" t="s">
        <v>25</v>
      </c>
      <c r="B181" s="7" t="s">
        <v>26</v>
      </c>
      <c r="C181" s="7" t="s">
        <v>27</v>
      </c>
      <c r="D181" s="7" t="s">
        <v>28</v>
      </c>
      <c r="E181" s="7" t="s">
        <v>29</v>
      </c>
      <c r="F181" s="7" t="s">
        <v>30</v>
      </c>
      <c r="G181" s="7" t="s">
        <v>31</v>
      </c>
      <c r="H181" s="7" t="s">
        <v>32</v>
      </c>
      <c r="I181" s="7" t="s">
        <v>33</v>
      </c>
      <c r="J181" s="7" t="s">
        <v>34</v>
      </c>
      <c r="K181" s="7" t="s">
        <v>35</v>
      </c>
      <c r="L181" s="7" t="s">
        <v>36</v>
      </c>
    </row>
    <row r="182" spans="1:12" x14ac:dyDescent="0.35">
      <c r="A182" s="7" t="s">
        <v>161</v>
      </c>
      <c r="B182" s="7" t="s">
        <v>162</v>
      </c>
      <c r="C182" s="7" t="s">
        <v>112</v>
      </c>
      <c r="D182" s="7">
        <v>800</v>
      </c>
      <c r="E182" s="7">
        <v>21</v>
      </c>
      <c r="F182" s="7">
        <v>800</v>
      </c>
      <c r="G182" s="7">
        <v>305</v>
      </c>
      <c r="H182" s="7">
        <v>5</v>
      </c>
      <c r="I182" s="7">
        <v>1110</v>
      </c>
      <c r="J182" s="7">
        <v>70</v>
      </c>
      <c r="K182" s="7">
        <v>70</v>
      </c>
      <c r="L182" s="7">
        <v>1040</v>
      </c>
    </row>
    <row r="183" spans="1:12" ht="9.9499999999999993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35">
      <c r="A184" s="7" t="s">
        <v>25</v>
      </c>
      <c r="B184" s="7" t="s">
        <v>26</v>
      </c>
      <c r="C184" s="7" t="s">
        <v>27</v>
      </c>
      <c r="D184" s="7" t="s">
        <v>28</v>
      </c>
      <c r="E184" s="7" t="s">
        <v>29</v>
      </c>
      <c r="F184" s="7" t="s">
        <v>30</v>
      </c>
      <c r="G184" s="7" t="s">
        <v>31</v>
      </c>
      <c r="H184" s="7" t="s">
        <v>32</v>
      </c>
      <c r="I184" s="7" t="s">
        <v>33</v>
      </c>
      <c r="J184" s="7" t="s">
        <v>34</v>
      </c>
      <c r="K184" s="7" t="s">
        <v>35</v>
      </c>
      <c r="L184" s="7" t="s">
        <v>36</v>
      </c>
    </row>
    <row r="185" spans="1:12" x14ac:dyDescent="0.35">
      <c r="A185" s="7" t="s">
        <v>163</v>
      </c>
      <c r="B185" s="7" t="s">
        <v>164</v>
      </c>
      <c r="C185" s="7" t="s">
        <v>112</v>
      </c>
      <c r="D185" s="7">
        <v>800</v>
      </c>
      <c r="E185" s="7">
        <v>21</v>
      </c>
      <c r="F185" s="7">
        <v>800</v>
      </c>
      <c r="G185" s="7">
        <v>310</v>
      </c>
      <c r="H185" s="7">
        <v>4</v>
      </c>
      <c r="I185" s="7">
        <v>1114</v>
      </c>
      <c r="J185" s="7">
        <v>69</v>
      </c>
      <c r="K185" s="7">
        <v>69</v>
      </c>
      <c r="L185" s="7">
        <v>1045</v>
      </c>
    </row>
    <row r="186" spans="1:12" ht="9.9499999999999993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35">
      <c r="A187" s="7" t="s">
        <v>25</v>
      </c>
      <c r="B187" s="7" t="s">
        <v>26</v>
      </c>
      <c r="C187" s="7" t="s">
        <v>27</v>
      </c>
      <c r="D187" s="7" t="s">
        <v>28</v>
      </c>
      <c r="E187" s="7" t="s">
        <v>29</v>
      </c>
      <c r="F187" s="7" t="s">
        <v>30</v>
      </c>
      <c r="G187" s="7" t="s">
        <v>31</v>
      </c>
      <c r="H187" s="7" t="s">
        <v>32</v>
      </c>
      <c r="I187" s="7" t="s">
        <v>33</v>
      </c>
      <c r="J187" s="7" t="s">
        <v>34</v>
      </c>
      <c r="K187" s="7" t="s">
        <v>35</v>
      </c>
      <c r="L187" s="7" t="s">
        <v>36</v>
      </c>
    </row>
    <row r="188" spans="1:12" x14ac:dyDescent="0.35">
      <c r="A188" s="7" t="s">
        <v>165</v>
      </c>
      <c r="B188" s="7" t="s">
        <v>166</v>
      </c>
      <c r="C188" s="7" t="s">
        <v>112</v>
      </c>
      <c r="D188" s="7">
        <v>800</v>
      </c>
      <c r="E188" s="7">
        <v>21</v>
      </c>
      <c r="F188" s="7">
        <v>800</v>
      </c>
      <c r="G188" s="7">
        <v>315</v>
      </c>
      <c r="H188" s="7">
        <v>3</v>
      </c>
      <c r="I188" s="7">
        <v>1118</v>
      </c>
      <c r="J188" s="7">
        <v>68</v>
      </c>
      <c r="K188" s="7">
        <v>68</v>
      </c>
      <c r="L188" s="7">
        <v>1050</v>
      </c>
    </row>
    <row r="189" spans="1:12" ht="9.9499999999999993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x14ac:dyDescent="0.35">
      <c r="A190" s="7" t="s">
        <v>25</v>
      </c>
      <c r="B190" s="7" t="s">
        <v>26</v>
      </c>
      <c r="C190" s="7" t="s">
        <v>27</v>
      </c>
      <c r="D190" s="7" t="s">
        <v>28</v>
      </c>
      <c r="E190" s="7" t="s">
        <v>29</v>
      </c>
      <c r="F190" s="7" t="s">
        <v>30</v>
      </c>
      <c r="G190" s="7" t="s">
        <v>31</v>
      </c>
      <c r="H190" s="7" t="s">
        <v>32</v>
      </c>
      <c r="I190" s="7" t="s">
        <v>33</v>
      </c>
      <c r="J190" s="7" t="s">
        <v>34</v>
      </c>
      <c r="K190" s="7" t="s">
        <v>35</v>
      </c>
      <c r="L190" s="7" t="s">
        <v>36</v>
      </c>
    </row>
    <row r="191" spans="1:12" x14ac:dyDescent="0.35">
      <c r="A191" s="7" t="s">
        <v>167</v>
      </c>
      <c r="B191" s="7" t="s">
        <v>168</v>
      </c>
      <c r="C191" s="7" t="s">
        <v>112</v>
      </c>
      <c r="D191" s="7">
        <v>800</v>
      </c>
      <c r="E191" s="7">
        <v>21</v>
      </c>
      <c r="F191" s="7">
        <v>800</v>
      </c>
      <c r="G191" s="7">
        <v>320</v>
      </c>
      <c r="H191" s="7">
        <v>2</v>
      </c>
      <c r="I191" s="7">
        <v>1122</v>
      </c>
      <c r="J191" s="7">
        <v>67</v>
      </c>
      <c r="K191" s="7">
        <v>67</v>
      </c>
      <c r="L191" s="7">
        <v>1055</v>
      </c>
    </row>
    <row r="192" spans="1:12" ht="9.9499999999999993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x14ac:dyDescent="0.35">
      <c r="A193" s="7" t="s">
        <v>25</v>
      </c>
      <c r="B193" s="7" t="s">
        <v>26</v>
      </c>
      <c r="C193" s="7" t="s">
        <v>27</v>
      </c>
      <c r="D193" s="7" t="s">
        <v>28</v>
      </c>
      <c r="E193" s="7" t="s">
        <v>29</v>
      </c>
      <c r="F193" s="7" t="s">
        <v>30</v>
      </c>
      <c r="G193" s="7" t="s">
        <v>31</v>
      </c>
      <c r="H193" s="7" t="s">
        <v>32</v>
      </c>
      <c r="I193" s="7" t="s">
        <v>33</v>
      </c>
      <c r="J193" s="7" t="s">
        <v>34</v>
      </c>
      <c r="K193" s="7" t="s">
        <v>35</v>
      </c>
      <c r="L193" s="7" t="s">
        <v>36</v>
      </c>
    </row>
    <row r="194" spans="1:12" x14ac:dyDescent="0.35">
      <c r="A194" s="7" t="s">
        <v>169</v>
      </c>
      <c r="B194" s="7" t="s">
        <v>170</v>
      </c>
      <c r="C194" s="7" t="s">
        <v>112</v>
      </c>
      <c r="D194" s="7">
        <v>800</v>
      </c>
      <c r="E194" s="7">
        <v>21</v>
      </c>
      <c r="F194" s="7">
        <v>800</v>
      </c>
      <c r="G194" s="7">
        <v>325</v>
      </c>
      <c r="H194" s="7">
        <v>1</v>
      </c>
      <c r="I194" s="7">
        <v>1126</v>
      </c>
      <c r="J194" s="7">
        <v>66</v>
      </c>
      <c r="K194" s="7">
        <v>66</v>
      </c>
      <c r="L194" s="7">
        <v>1060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4"/>
  <sheetViews>
    <sheetView showGridLines="0" tabSelected="1" workbookViewId="0">
      <selection activeCell="O28" sqref="O28"/>
    </sheetView>
  </sheetViews>
  <sheetFormatPr defaultRowHeight="13.5" x14ac:dyDescent="0.15"/>
  <sheetData>
    <row r="1" spans="1:16" ht="14.25" x14ac:dyDescent="0.1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</row>
    <row r="2" spans="1:16" ht="14.25" x14ac:dyDescent="0.15">
      <c r="A2" s="7" t="s">
        <v>37</v>
      </c>
      <c r="B2" s="7" t="s">
        <v>38</v>
      </c>
      <c r="C2" s="7" t="s">
        <v>39</v>
      </c>
      <c r="D2" s="7">
        <v>3000</v>
      </c>
      <c r="E2" s="7">
        <v>21</v>
      </c>
      <c r="F2" s="7">
        <v>3000</v>
      </c>
      <c r="G2" s="7">
        <v>5</v>
      </c>
      <c r="H2" s="7">
        <v>65</v>
      </c>
      <c r="I2" s="7">
        <v>3070</v>
      </c>
      <c r="J2" s="7">
        <v>130</v>
      </c>
      <c r="K2" s="7">
        <v>277</v>
      </c>
      <c r="L2" s="7">
        <v>2793</v>
      </c>
    </row>
    <row r="3" spans="1:16" ht="6.95" customHeight="1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6" ht="14.25" x14ac:dyDescent="0.15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</row>
    <row r="5" spans="1:16" ht="14.25" x14ac:dyDescent="0.15">
      <c r="A5" s="7" t="s">
        <v>40</v>
      </c>
      <c r="B5" s="7" t="s">
        <v>41</v>
      </c>
      <c r="C5" s="7" t="s">
        <v>42</v>
      </c>
      <c r="D5" s="7">
        <v>1200</v>
      </c>
      <c r="E5" s="7">
        <v>21</v>
      </c>
      <c r="F5" s="7">
        <v>1200</v>
      </c>
      <c r="G5" s="7">
        <v>10</v>
      </c>
      <c r="H5" s="7">
        <v>64</v>
      </c>
      <c r="I5" s="7">
        <v>1274</v>
      </c>
      <c r="J5" s="7">
        <v>129</v>
      </c>
      <c r="K5" s="7">
        <v>129</v>
      </c>
      <c r="L5" s="7">
        <v>1145</v>
      </c>
    </row>
    <row r="6" spans="1:16" ht="6.95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6" ht="14.25" x14ac:dyDescent="0.15">
      <c r="A7" s="7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7" t="s">
        <v>31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</row>
    <row r="8" spans="1:16" ht="14.25" x14ac:dyDescent="0.15">
      <c r="A8" s="7" t="s">
        <v>43</v>
      </c>
      <c r="B8" s="7" t="s">
        <v>44</v>
      </c>
      <c r="C8" s="7" t="s">
        <v>42</v>
      </c>
      <c r="D8" s="7">
        <v>1200</v>
      </c>
      <c r="E8" s="7">
        <v>21</v>
      </c>
      <c r="F8" s="7">
        <v>1200</v>
      </c>
      <c r="G8" s="7">
        <v>15</v>
      </c>
      <c r="H8" s="7">
        <v>63</v>
      </c>
      <c r="I8" s="7">
        <v>1278</v>
      </c>
      <c r="J8" s="7">
        <v>128</v>
      </c>
      <c r="K8" s="7">
        <v>128</v>
      </c>
      <c r="L8" s="7">
        <v>1150</v>
      </c>
      <c r="P8" t="s">
        <v>174</v>
      </c>
    </row>
    <row r="9" spans="1:16" ht="6.95" customHeight="1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6" ht="14.25" x14ac:dyDescent="0.15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 t="s">
        <v>36</v>
      </c>
    </row>
    <row r="11" spans="1:16" ht="14.25" x14ac:dyDescent="0.15">
      <c r="A11" s="7" t="s">
        <v>45</v>
      </c>
      <c r="B11" s="7" t="s">
        <v>46</v>
      </c>
      <c r="C11" s="7" t="s">
        <v>42</v>
      </c>
      <c r="D11" s="7">
        <v>1200</v>
      </c>
      <c r="E11" s="7">
        <v>21</v>
      </c>
      <c r="F11" s="7">
        <v>1200</v>
      </c>
      <c r="G11" s="7">
        <v>20</v>
      </c>
      <c r="H11" s="7">
        <v>62</v>
      </c>
      <c r="I11" s="7">
        <v>1282</v>
      </c>
      <c r="J11" s="7">
        <v>127</v>
      </c>
      <c r="K11" s="7">
        <v>127</v>
      </c>
      <c r="L11" s="7">
        <v>1155</v>
      </c>
    </row>
    <row r="12" spans="1:16" ht="6.95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6" ht="14.25" x14ac:dyDescent="0.15">
      <c r="A13" s="7" t="s">
        <v>25</v>
      </c>
      <c r="B13" s="7" t="s">
        <v>26</v>
      </c>
      <c r="C13" s="7" t="s">
        <v>27</v>
      </c>
      <c r="D13" s="7" t="s">
        <v>28</v>
      </c>
      <c r="E13" s="7" t="s">
        <v>29</v>
      </c>
      <c r="F13" s="7" t="s">
        <v>30</v>
      </c>
      <c r="G13" s="7" t="s">
        <v>31</v>
      </c>
      <c r="H13" s="7" t="s">
        <v>32</v>
      </c>
      <c r="I13" s="7" t="s">
        <v>33</v>
      </c>
      <c r="J13" s="7" t="s">
        <v>34</v>
      </c>
      <c r="K13" s="7" t="s">
        <v>35</v>
      </c>
      <c r="L13" s="7" t="s">
        <v>36</v>
      </c>
    </row>
    <row r="14" spans="1:16" ht="14.25" x14ac:dyDescent="0.15">
      <c r="A14" s="7" t="s">
        <v>47</v>
      </c>
      <c r="B14" s="7" t="s">
        <v>48</v>
      </c>
      <c r="C14" s="7" t="s">
        <v>42</v>
      </c>
      <c r="D14" s="7">
        <v>1200</v>
      </c>
      <c r="E14" s="7">
        <v>21</v>
      </c>
      <c r="F14" s="7">
        <v>1200</v>
      </c>
      <c r="G14" s="7">
        <v>25</v>
      </c>
      <c r="H14" s="7">
        <v>61</v>
      </c>
      <c r="I14" s="7">
        <v>1286</v>
      </c>
      <c r="J14" s="7">
        <v>126</v>
      </c>
      <c r="K14" s="7">
        <v>126</v>
      </c>
      <c r="L14" s="7">
        <v>1160</v>
      </c>
    </row>
    <row r="15" spans="1:16" ht="6.95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6" ht="14.25" x14ac:dyDescent="0.15">
      <c r="A16" s="7" t="s">
        <v>25</v>
      </c>
      <c r="B16" s="7" t="s">
        <v>26</v>
      </c>
      <c r="C16" s="7" t="s">
        <v>27</v>
      </c>
      <c r="D16" s="7" t="s">
        <v>28</v>
      </c>
      <c r="E16" s="7" t="s">
        <v>29</v>
      </c>
      <c r="F16" s="7" t="s">
        <v>30</v>
      </c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 t="s">
        <v>36</v>
      </c>
    </row>
    <row r="17" spans="1:12" ht="14.25" x14ac:dyDescent="0.15">
      <c r="A17" s="7" t="s">
        <v>49</v>
      </c>
      <c r="B17" s="7" t="s">
        <v>50</v>
      </c>
      <c r="C17" s="7" t="s">
        <v>42</v>
      </c>
      <c r="D17" s="7">
        <v>1200</v>
      </c>
      <c r="E17" s="7">
        <v>21</v>
      </c>
      <c r="F17" s="7">
        <v>1200</v>
      </c>
      <c r="G17" s="7">
        <v>30</v>
      </c>
      <c r="H17" s="7">
        <v>60</v>
      </c>
      <c r="I17" s="7">
        <v>1290</v>
      </c>
      <c r="J17" s="7">
        <v>125</v>
      </c>
      <c r="K17" s="7">
        <v>125</v>
      </c>
      <c r="L17" s="7">
        <v>1165</v>
      </c>
    </row>
    <row r="18" spans="1:12" ht="6.95" customHeight="1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4.25" x14ac:dyDescent="0.15">
      <c r="A19" s="7" t="s">
        <v>25</v>
      </c>
      <c r="B19" s="7" t="s">
        <v>26</v>
      </c>
      <c r="C19" s="7" t="s">
        <v>27</v>
      </c>
      <c r="D19" s="7" t="s">
        <v>28</v>
      </c>
      <c r="E19" s="7" t="s">
        <v>29</v>
      </c>
      <c r="F19" s="7" t="s">
        <v>30</v>
      </c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 t="s">
        <v>36</v>
      </c>
    </row>
    <row r="20" spans="1:12" ht="14.25" x14ac:dyDescent="0.15">
      <c r="A20" s="7" t="s">
        <v>51</v>
      </c>
      <c r="B20" s="7" t="s">
        <v>52</v>
      </c>
      <c r="C20" s="7" t="s">
        <v>42</v>
      </c>
      <c r="D20" s="7">
        <v>1200</v>
      </c>
      <c r="E20" s="7">
        <v>21</v>
      </c>
      <c r="F20" s="7">
        <v>1200</v>
      </c>
      <c r="G20" s="7">
        <v>35</v>
      </c>
      <c r="H20" s="7">
        <v>59</v>
      </c>
      <c r="I20" s="7">
        <v>1294</v>
      </c>
      <c r="J20" s="7">
        <v>124</v>
      </c>
      <c r="K20" s="7">
        <v>124</v>
      </c>
      <c r="L20" s="7">
        <v>1170</v>
      </c>
    </row>
    <row r="21" spans="1:12" ht="6.95" customHeight="1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4.25" x14ac:dyDescent="0.15">
      <c r="A22" s="7" t="s">
        <v>25</v>
      </c>
      <c r="B22" s="7" t="s">
        <v>26</v>
      </c>
      <c r="C22" s="7" t="s">
        <v>27</v>
      </c>
      <c r="D22" s="7" t="s">
        <v>28</v>
      </c>
      <c r="E22" s="7" t="s">
        <v>29</v>
      </c>
      <c r="F22" s="7" t="s">
        <v>30</v>
      </c>
      <c r="G22" s="7" t="s">
        <v>31</v>
      </c>
      <c r="H22" s="7" t="s">
        <v>32</v>
      </c>
      <c r="I22" s="7" t="s">
        <v>33</v>
      </c>
      <c r="J22" s="7" t="s">
        <v>34</v>
      </c>
      <c r="K22" s="7" t="s">
        <v>35</v>
      </c>
      <c r="L22" s="7" t="s">
        <v>36</v>
      </c>
    </row>
    <row r="23" spans="1:12" ht="14.25" x14ac:dyDescent="0.15">
      <c r="A23" s="7" t="s">
        <v>53</v>
      </c>
      <c r="B23" s="7" t="s">
        <v>54</v>
      </c>
      <c r="C23" s="7" t="s">
        <v>42</v>
      </c>
      <c r="D23" s="7">
        <v>1200</v>
      </c>
      <c r="E23" s="7">
        <v>21</v>
      </c>
      <c r="F23" s="7">
        <v>1200</v>
      </c>
      <c r="G23" s="7">
        <v>40</v>
      </c>
      <c r="H23" s="7">
        <v>58</v>
      </c>
      <c r="I23" s="7">
        <v>1298</v>
      </c>
      <c r="J23" s="7">
        <v>123</v>
      </c>
      <c r="K23" s="7">
        <v>123</v>
      </c>
      <c r="L23" s="7">
        <v>1175</v>
      </c>
    </row>
    <row r="24" spans="1:12" ht="6.95" customHeight="1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4.25" x14ac:dyDescent="0.15">
      <c r="A25" s="7" t="s">
        <v>25</v>
      </c>
      <c r="B25" s="7" t="s">
        <v>26</v>
      </c>
      <c r="C25" s="7" t="s">
        <v>27</v>
      </c>
      <c r="D25" s="7" t="s">
        <v>28</v>
      </c>
      <c r="E25" s="7" t="s">
        <v>29</v>
      </c>
      <c r="F25" s="7" t="s">
        <v>30</v>
      </c>
      <c r="G25" s="7" t="s">
        <v>31</v>
      </c>
      <c r="H25" s="7" t="s">
        <v>32</v>
      </c>
      <c r="I25" s="7" t="s">
        <v>33</v>
      </c>
      <c r="J25" s="7" t="s">
        <v>34</v>
      </c>
      <c r="K25" s="7" t="s">
        <v>35</v>
      </c>
      <c r="L25" s="7" t="s">
        <v>36</v>
      </c>
    </row>
    <row r="26" spans="1:12" ht="14.25" x14ac:dyDescent="0.15">
      <c r="A26" s="7" t="s">
        <v>55</v>
      </c>
      <c r="B26" s="7" t="s">
        <v>56</v>
      </c>
      <c r="C26" s="7" t="s">
        <v>42</v>
      </c>
      <c r="D26" s="7">
        <v>1200</v>
      </c>
      <c r="E26" s="7">
        <v>21</v>
      </c>
      <c r="F26" s="7">
        <v>1200</v>
      </c>
      <c r="G26" s="7">
        <v>45</v>
      </c>
      <c r="H26" s="7">
        <v>57</v>
      </c>
      <c r="I26" s="7">
        <v>1302</v>
      </c>
      <c r="J26" s="7">
        <v>122</v>
      </c>
      <c r="K26" s="7">
        <v>122</v>
      </c>
      <c r="L26" s="7">
        <v>1180</v>
      </c>
    </row>
    <row r="27" spans="1:12" ht="6.95" customHeight="1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4.25" x14ac:dyDescent="0.15">
      <c r="A28" s="7" t="s">
        <v>25</v>
      </c>
      <c r="B28" s="7" t="s">
        <v>26</v>
      </c>
      <c r="C28" s="7" t="s">
        <v>27</v>
      </c>
      <c r="D28" s="7" t="s">
        <v>28</v>
      </c>
      <c r="E28" s="7" t="s">
        <v>29</v>
      </c>
      <c r="F28" s="7" t="s">
        <v>30</v>
      </c>
      <c r="G28" s="7" t="s">
        <v>31</v>
      </c>
      <c r="H28" s="7" t="s">
        <v>32</v>
      </c>
      <c r="I28" s="7" t="s">
        <v>33</v>
      </c>
      <c r="J28" s="7" t="s">
        <v>34</v>
      </c>
      <c r="K28" s="7" t="s">
        <v>35</v>
      </c>
      <c r="L28" s="7" t="s">
        <v>36</v>
      </c>
    </row>
    <row r="29" spans="1:12" ht="14.25" x14ac:dyDescent="0.15">
      <c r="A29" s="7" t="s">
        <v>57</v>
      </c>
      <c r="B29" s="7" t="s">
        <v>58</v>
      </c>
      <c r="C29" s="7" t="s">
        <v>42</v>
      </c>
      <c r="D29" s="7">
        <v>1200</v>
      </c>
      <c r="E29" s="7">
        <v>21</v>
      </c>
      <c r="F29" s="7">
        <v>1200</v>
      </c>
      <c r="G29" s="7">
        <v>50</v>
      </c>
      <c r="H29" s="7">
        <v>56</v>
      </c>
      <c r="I29" s="7">
        <v>1306</v>
      </c>
      <c r="J29" s="7">
        <v>121</v>
      </c>
      <c r="K29" s="7">
        <v>121</v>
      </c>
      <c r="L29" s="7">
        <v>1185</v>
      </c>
    </row>
    <row r="30" spans="1:12" ht="6.95" customHeight="1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4.25" x14ac:dyDescent="0.15">
      <c r="A31" s="7" t="s">
        <v>25</v>
      </c>
      <c r="B31" s="7" t="s">
        <v>26</v>
      </c>
      <c r="C31" s="7" t="s">
        <v>27</v>
      </c>
      <c r="D31" s="7" t="s">
        <v>28</v>
      </c>
      <c r="E31" s="7" t="s">
        <v>29</v>
      </c>
      <c r="F31" s="7" t="s">
        <v>30</v>
      </c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  <c r="L31" s="7" t="s">
        <v>36</v>
      </c>
    </row>
    <row r="32" spans="1:12" ht="14.25" x14ac:dyDescent="0.15">
      <c r="A32" s="7" t="s">
        <v>59</v>
      </c>
      <c r="B32" s="7" t="s">
        <v>60</v>
      </c>
      <c r="C32" s="7" t="s">
        <v>61</v>
      </c>
      <c r="D32" s="7">
        <v>1500</v>
      </c>
      <c r="E32" s="7">
        <v>21</v>
      </c>
      <c r="F32" s="7">
        <v>1500</v>
      </c>
      <c r="G32" s="7">
        <v>55</v>
      </c>
      <c r="H32" s="7">
        <v>55</v>
      </c>
      <c r="I32" s="7">
        <v>1610</v>
      </c>
      <c r="J32" s="7">
        <v>120</v>
      </c>
      <c r="K32" s="7">
        <v>120.5</v>
      </c>
      <c r="L32" s="7">
        <v>1489.5</v>
      </c>
    </row>
    <row r="33" spans="1:12" ht="6.95" customHeight="1" x14ac:dyDescent="0.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4.25" x14ac:dyDescent="0.15">
      <c r="A34" s="7" t="s">
        <v>25</v>
      </c>
      <c r="B34" s="7" t="s">
        <v>26</v>
      </c>
      <c r="C34" s="7" t="s">
        <v>27</v>
      </c>
      <c r="D34" s="7" t="s">
        <v>28</v>
      </c>
      <c r="E34" s="7" t="s">
        <v>29</v>
      </c>
      <c r="F34" s="7" t="s">
        <v>30</v>
      </c>
      <c r="G34" s="7" t="s">
        <v>31</v>
      </c>
      <c r="H34" s="7" t="s">
        <v>32</v>
      </c>
      <c r="I34" s="7" t="s">
        <v>33</v>
      </c>
      <c r="J34" s="7" t="s">
        <v>34</v>
      </c>
      <c r="K34" s="7" t="s">
        <v>35</v>
      </c>
      <c r="L34" s="7" t="s">
        <v>36</v>
      </c>
    </row>
    <row r="35" spans="1:12" ht="14.25" x14ac:dyDescent="0.15">
      <c r="A35" s="7" t="s">
        <v>62</v>
      </c>
      <c r="B35" s="7" t="s">
        <v>63</v>
      </c>
      <c r="C35" s="7" t="s">
        <v>61</v>
      </c>
      <c r="D35" s="7">
        <v>1500</v>
      </c>
      <c r="E35" s="7">
        <v>21</v>
      </c>
      <c r="F35" s="7">
        <v>1500</v>
      </c>
      <c r="G35" s="7">
        <v>60</v>
      </c>
      <c r="H35" s="7">
        <v>54</v>
      </c>
      <c r="I35" s="7">
        <v>1614</v>
      </c>
      <c r="J35" s="7">
        <v>119</v>
      </c>
      <c r="K35" s="7">
        <v>119.7</v>
      </c>
      <c r="L35" s="7">
        <v>1494.3</v>
      </c>
    </row>
    <row r="36" spans="1:12" ht="6.95" customHeight="1" x14ac:dyDescent="0.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14.25" x14ac:dyDescent="0.15">
      <c r="A37" s="7" t="s">
        <v>25</v>
      </c>
      <c r="B37" s="7" t="s">
        <v>26</v>
      </c>
      <c r="C37" s="7" t="s">
        <v>27</v>
      </c>
      <c r="D37" s="7" t="s">
        <v>28</v>
      </c>
      <c r="E37" s="7" t="s">
        <v>29</v>
      </c>
      <c r="F37" s="7" t="s">
        <v>30</v>
      </c>
      <c r="G37" s="7" t="s">
        <v>31</v>
      </c>
      <c r="H37" s="7" t="s">
        <v>32</v>
      </c>
      <c r="I37" s="7" t="s">
        <v>33</v>
      </c>
      <c r="J37" s="7" t="s">
        <v>34</v>
      </c>
      <c r="K37" s="7" t="s">
        <v>35</v>
      </c>
      <c r="L37" s="7" t="s">
        <v>36</v>
      </c>
    </row>
    <row r="38" spans="1:12" ht="14.25" x14ac:dyDescent="0.15">
      <c r="A38" s="7" t="s">
        <v>64</v>
      </c>
      <c r="B38" s="7" t="s">
        <v>65</v>
      </c>
      <c r="C38" s="7" t="s">
        <v>61</v>
      </c>
      <c r="D38" s="7">
        <v>1500</v>
      </c>
      <c r="E38" s="7">
        <v>21</v>
      </c>
      <c r="F38" s="7">
        <v>1500</v>
      </c>
      <c r="G38" s="7">
        <v>65</v>
      </c>
      <c r="H38" s="7">
        <v>53</v>
      </c>
      <c r="I38" s="7">
        <v>1618</v>
      </c>
      <c r="J38" s="7">
        <v>118</v>
      </c>
      <c r="K38" s="7">
        <v>118.9</v>
      </c>
      <c r="L38" s="7">
        <v>1499.1</v>
      </c>
    </row>
    <row r="39" spans="1:12" ht="6.95" customHeight="1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4.25" x14ac:dyDescent="0.15">
      <c r="A40" s="7" t="s">
        <v>25</v>
      </c>
      <c r="B40" s="7" t="s">
        <v>26</v>
      </c>
      <c r="C40" s="7" t="s">
        <v>27</v>
      </c>
      <c r="D40" s="7" t="s">
        <v>28</v>
      </c>
      <c r="E40" s="7" t="s">
        <v>29</v>
      </c>
      <c r="F40" s="7" t="s">
        <v>30</v>
      </c>
      <c r="G40" s="7" t="s">
        <v>31</v>
      </c>
      <c r="H40" s="7" t="s">
        <v>32</v>
      </c>
      <c r="I40" s="7" t="s">
        <v>33</v>
      </c>
      <c r="J40" s="7" t="s">
        <v>34</v>
      </c>
      <c r="K40" s="7" t="s">
        <v>35</v>
      </c>
      <c r="L40" s="7" t="s">
        <v>36</v>
      </c>
    </row>
    <row r="41" spans="1:12" ht="14.25" x14ac:dyDescent="0.15">
      <c r="A41" s="7" t="s">
        <v>66</v>
      </c>
      <c r="B41" s="7" t="s">
        <v>67</v>
      </c>
      <c r="C41" s="7" t="s">
        <v>61</v>
      </c>
      <c r="D41" s="7">
        <v>1500</v>
      </c>
      <c r="E41" s="7">
        <v>21</v>
      </c>
      <c r="F41" s="7">
        <v>1500</v>
      </c>
      <c r="G41" s="7">
        <v>70</v>
      </c>
      <c r="H41" s="7">
        <v>52</v>
      </c>
      <c r="I41" s="7">
        <v>1622</v>
      </c>
      <c r="J41" s="7">
        <v>117</v>
      </c>
      <c r="K41" s="7">
        <v>118.1</v>
      </c>
      <c r="L41" s="7">
        <v>1503.9</v>
      </c>
    </row>
    <row r="42" spans="1:12" ht="6.95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14.25" x14ac:dyDescent="0.15">
      <c r="A43" s="7" t="s">
        <v>25</v>
      </c>
      <c r="B43" s="7" t="s">
        <v>26</v>
      </c>
      <c r="C43" s="7" t="s">
        <v>27</v>
      </c>
      <c r="D43" s="7" t="s">
        <v>28</v>
      </c>
      <c r="E43" s="7" t="s">
        <v>29</v>
      </c>
      <c r="F43" s="7" t="s">
        <v>30</v>
      </c>
      <c r="G43" s="7" t="s">
        <v>31</v>
      </c>
      <c r="H43" s="7" t="s">
        <v>32</v>
      </c>
      <c r="I43" s="7" t="s">
        <v>33</v>
      </c>
      <c r="J43" s="7" t="s">
        <v>34</v>
      </c>
      <c r="K43" s="7" t="s">
        <v>35</v>
      </c>
      <c r="L43" s="7" t="s">
        <v>36</v>
      </c>
    </row>
    <row r="44" spans="1:12" ht="14.25" x14ac:dyDescent="0.15">
      <c r="A44" s="7" t="s">
        <v>68</v>
      </c>
      <c r="B44" s="7" t="s">
        <v>69</v>
      </c>
      <c r="C44" s="7" t="s">
        <v>61</v>
      </c>
      <c r="D44" s="7">
        <v>1500</v>
      </c>
      <c r="E44" s="7">
        <v>21</v>
      </c>
      <c r="F44" s="7">
        <v>1500</v>
      </c>
      <c r="G44" s="7">
        <v>75</v>
      </c>
      <c r="H44" s="7">
        <v>51</v>
      </c>
      <c r="I44" s="7">
        <v>1626</v>
      </c>
      <c r="J44" s="7">
        <v>116</v>
      </c>
      <c r="K44" s="7">
        <v>117.3</v>
      </c>
      <c r="L44" s="7">
        <v>1508.7</v>
      </c>
    </row>
    <row r="45" spans="1:12" ht="6.95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14.25" x14ac:dyDescent="0.15">
      <c r="A46" s="7" t="s">
        <v>25</v>
      </c>
      <c r="B46" s="7" t="s">
        <v>26</v>
      </c>
      <c r="C46" s="7" t="s">
        <v>27</v>
      </c>
      <c r="D46" s="7" t="s">
        <v>28</v>
      </c>
      <c r="E46" s="7" t="s">
        <v>29</v>
      </c>
      <c r="F46" s="7" t="s">
        <v>30</v>
      </c>
      <c r="G46" s="7" t="s">
        <v>31</v>
      </c>
      <c r="H46" s="7" t="s">
        <v>32</v>
      </c>
      <c r="I46" s="7" t="s">
        <v>33</v>
      </c>
      <c r="J46" s="7" t="s">
        <v>34</v>
      </c>
      <c r="K46" s="7" t="s">
        <v>35</v>
      </c>
      <c r="L46" s="7" t="s">
        <v>36</v>
      </c>
    </row>
    <row r="47" spans="1:12" ht="14.25" x14ac:dyDescent="0.15">
      <c r="A47" s="7" t="s">
        <v>70</v>
      </c>
      <c r="B47" s="7" t="s">
        <v>71</v>
      </c>
      <c r="C47" s="7" t="s">
        <v>61</v>
      </c>
      <c r="D47" s="7">
        <v>1500</v>
      </c>
      <c r="E47" s="7">
        <v>21</v>
      </c>
      <c r="F47" s="7">
        <v>1500</v>
      </c>
      <c r="G47" s="7">
        <v>80</v>
      </c>
      <c r="H47" s="7">
        <v>50</v>
      </c>
      <c r="I47" s="7">
        <v>1630</v>
      </c>
      <c r="J47" s="7">
        <v>115</v>
      </c>
      <c r="K47" s="7">
        <v>116.5</v>
      </c>
      <c r="L47" s="7">
        <v>1513.5</v>
      </c>
    </row>
    <row r="48" spans="1:12" ht="6.9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4.25" x14ac:dyDescent="0.15">
      <c r="A49" s="7" t="s">
        <v>25</v>
      </c>
      <c r="B49" s="7" t="s">
        <v>26</v>
      </c>
      <c r="C49" s="7" t="s">
        <v>27</v>
      </c>
      <c r="D49" s="7" t="s">
        <v>28</v>
      </c>
      <c r="E49" s="7" t="s">
        <v>29</v>
      </c>
      <c r="F49" s="7" t="s">
        <v>30</v>
      </c>
      <c r="G49" s="7" t="s">
        <v>31</v>
      </c>
      <c r="H49" s="7" t="s">
        <v>32</v>
      </c>
      <c r="I49" s="7" t="s">
        <v>33</v>
      </c>
      <c r="J49" s="7" t="s">
        <v>34</v>
      </c>
      <c r="K49" s="7" t="s">
        <v>35</v>
      </c>
      <c r="L49" s="7" t="s">
        <v>36</v>
      </c>
    </row>
    <row r="50" spans="1:12" ht="14.25" x14ac:dyDescent="0.15">
      <c r="A50" s="7" t="s">
        <v>72</v>
      </c>
      <c r="B50" s="7" t="s">
        <v>73</v>
      </c>
      <c r="C50" s="7" t="s">
        <v>61</v>
      </c>
      <c r="D50" s="7">
        <v>1500</v>
      </c>
      <c r="E50" s="7">
        <v>21</v>
      </c>
      <c r="F50" s="7">
        <v>1500</v>
      </c>
      <c r="G50" s="7">
        <v>85</v>
      </c>
      <c r="H50" s="7">
        <v>49</v>
      </c>
      <c r="I50" s="7">
        <v>1634</v>
      </c>
      <c r="J50" s="7">
        <v>114</v>
      </c>
      <c r="K50" s="7">
        <v>115.7</v>
      </c>
      <c r="L50" s="7">
        <v>1518.3</v>
      </c>
    </row>
    <row r="51" spans="1:12" ht="6.95" customHeight="1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14.25" x14ac:dyDescent="0.15">
      <c r="A52" s="7" t="s">
        <v>25</v>
      </c>
      <c r="B52" s="7" t="s">
        <v>26</v>
      </c>
      <c r="C52" s="7" t="s">
        <v>27</v>
      </c>
      <c r="D52" s="7" t="s">
        <v>28</v>
      </c>
      <c r="E52" s="7" t="s">
        <v>29</v>
      </c>
      <c r="F52" s="7" t="s">
        <v>30</v>
      </c>
      <c r="G52" s="7" t="s">
        <v>31</v>
      </c>
      <c r="H52" s="7" t="s">
        <v>32</v>
      </c>
      <c r="I52" s="7" t="s">
        <v>33</v>
      </c>
      <c r="J52" s="7" t="s">
        <v>34</v>
      </c>
      <c r="K52" s="7" t="s">
        <v>35</v>
      </c>
      <c r="L52" s="7" t="s">
        <v>36</v>
      </c>
    </row>
    <row r="53" spans="1:12" ht="14.25" x14ac:dyDescent="0.15">
      <c r="A53" s="7" t="s">
        <v>74</v>
      </c>
      <c r="B53" s="7" t="s">
        <v>75</v>
      </c>
      <c r="C53" s="7" t="s">
        <v>61</v>
      </c>
      <c r="D53" s="7">
        <v>1500</v>
      </c>
      <c r="E53" s="7">
        <v>21</v>
      </c>
      <c r="F53" s="7">
        <v>1500</v>
      </c>
      <c r="G53" s="7">
        <v>90</v>
      </c>
      <c r="H53" s="7">
        <v>48</v>
      </c>
      <c r="I53" s="7">
        <v>1638</v>
      </c>
      <c r="J53" s="7">
        <v>113</v>
      </c>
      <c r="K53" s="7">
        <v>114.9</v>
      </c>
      <c r="L53" s="7">
        <v>1523.1</v>
      </c>
    </row>
    <row r="54" spans="1:12" ht="6.95" customHeight="1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4.25" x14ac:dyDescent="0.15">
      <c r="A55" s="7" t="s">
        <v>25</v>
      </c>
      <c r="B55" s="7" t="s">
        <v>26</v>
      </c>
      <c r="C55" s="7" t="s">
        <v>27</v>
      </c>
      <c r="D55" s="7" t="s">
        <v>28</v>
      </c>
      <c r="E55" s="7" t="s">
        <v>29</v>
      </c>
      <c r="F55" s="7" t="s">
        <v>30</v>
      </c>
      <c r="G55" s="7" t="s">
        <v>31</v>
      </c>
      <c r="H55" s="7" t="s">
        <v>32</v>
      </c>
      <c r="I55" s="7" t="s">
        <v>33</v>
      </c>
      <c r="J55" s="7" t="s">
        <v>34</v>
      </c>
      <c r="K55" s="7" t="s">
        <v>35</v>
      </c>
      <c r="L55" s="7" t="s">
        <v>36</v>
      </c>
    </row>
    <row r="56" spans="1:12" ht="14.25" x14ac:dyDescent="0.15">
      <c r="A56" s="7" t="s">
        <v>76</v>
      </c>
      <c r="B56" s="7" t="s">
        <v>77</v>
      </c>
      <c r="C56" s="7" t="s">
        <v>61</v>
      </c>
      <c r="D56" s="7">
        <v>1500</v>
      </c>
      <c r="E56" s="7">
        <v>21</v>
      </c>
      <c r="F56" s="7">
        <v>1500</v>
      </c>
      <c r="G56" s="7">
        <v>95</v>
      </c>
      <c r="H56" s="7">
        <v>47</v>
      </c>
      <c r="I56" s="7">
        <v>1642</v>
      </c>
      <c r="J56" s="7">
        <v>112</v>
      </c>
      <c r="K56" s="7">
        <v>114.1</v>
      </c>
      <c r="L56" s="7">
        <v>1527.9</v>
      </c>
    </row>
    <row r="57" spans="1:12" ht="6.95" customHeight="1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4.25" x14ac:dyDescent="0.15">
      <c r="A58" s="7" t="s">
        <v>25</v>
      </c>
      <c r="B58" s="7" t="s">
        <v>26</v>
      </c>
      <c r="C58" s="7" t="s">
        <v>27</v>
      </c>
      <c r="D58" s="7" t="s">
        <v>28</v>
      </c>
      <c r="E58" s="7" t="s">
        <v>29</v>
      </c>
      <c r="F58" s="7" t="s">
        <v>30</v>
      </c>
      <c r="G58" s="7" t="s">
        <v>31</v>
      </c>
      <c r="H58" s="7" t="s">
        <v>32</v>
      </c>
      <c r="I58" s="7" t="s">
        <v>33</v>
      </c>
      <c r="J58" s="7" t="s">
        <v>34</v>
      </c>
      <c r="K58" s="7" t="s">
        <v>35</v>
      </c>
      <c r="L58" s="7" t="s">
        <v>36</v>
      </c>
    </row>
    <row r="59" spans="1:12" ht="14.25" x14ac:dyDescent="0.15">
      <c r="A59" s="7" t="s">
        <v>78</v>
      </c>
      <c r="B59" s="7" t="s">
        <v>79</v>
      </c>
      <c r="C59" s="7" t="s">
        <v>61</v>
      </c>
      <c r="D59" s="7">
        <v>1500</v>
      </c>
      <c r="E59" s="7">
        <v>21</v>
      </c>
      <c r="F59" s="7">
        <v>1500</v>
      </c>
      <c r="G59" s="7">
        <v>100</v>
      </c>
      <c r="H59" s="7">
        <v>46</v>
      </c>
      <c r="I59" s="7">
        <v>1646</v>
      </c>
      <c r="J59" s="7">
        <v>111</v>
      </c>
      <c r="K59" s="7">
        <v>113.3</v>
      </c>
      <c r="L59" s="7">
        <v>1532.7</v>
      </c>
    </row>
    <row r="60" spans="1:12" ht="6.95" customHeight="1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4.25" x14ac:dyDescent="0.15">
      <c r="A61" s="7" t="s">
        <v>25</v>
      </c>
      <c r="B61" s="7" t="s">
        <v>26</v>
      </c>
      <c r="C61" s="7" t="s">
        <v>27</v>
      </c>
      <c r="D61" s="7" t="s">
        <v>28</v>
      </c>
      <c r="E61" s="7" t="s">
        <v>29</v>
      </c>
      <c r="F61" s="7" t="s">
        <v>30</v>
      </c>
      <c r="G61" s="7" t="s">
        <v>31</v>
      </c>
      <c r="H61" s="7" t="s">
        <v>32</v>
      </c>
      <c r="I61" s="7" t="s">
        <v>33</v>
      </c>
      <c r="J61" s="7" t="s">
        <v>34</v>
      </c>
      <c r="K61" s="7" t="s">
        <v>35</v>
      </c>
      <c r="L61" s="7" t="s">
        <v>36</v>
      </c>
    </row>
    <row r="62" spans="1:12" ht="14.25" x14ac:dyDescent="0.15">
      <c r="A62" s="7" t="s">
        <v>80</v>
      </c>
      <c r="B62" s="7" t="s">
        <v>81</v>
      </c>
      <c r="C62" s="7" t="s">
        <v>61</v>
      </c>
      <c r="D62" s="7">
        <v>1500</v>
      </c>
      <c r="E62" s="7">
        <v>21</v>
      </c>
      <c r="F62" s="7">
        <v>1500</v>
      </c>
      <c r="G62" s="7">
        <v>105</v>
      </c>
      <c r="H62" s="7">
        <v>45</v>
      </c>
      <c r="I62" s="7">
        <v>1650</v>
      </c>
      <c r="J62" s="7">
        <v>110</v>
      </c>
      <c r="K62" s="7">
        <v>112.5</v>
      </c>
      <c r="L62" s="7">
        <v>1537.5</v>
      </c>
    </row>
    <row r="63" spans="1:12" ht="6.95" customHeight="1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ht="14.25" x14ac:dyDescent="0.15">
      <c r="A64" s="7" t="s">
        <v>25</v>
      </c>
      <c r="B64" s="7" t="s">
        <v>26</v>
      </c>
      <c r="C64" s="7" t="s">
        <v>27</v>
      </c>
      <c r="D64" s="7" t="s">
        <v>28</v>
      </c>
      <c r="E64" s="7" t="s">
        <v>29</v>
      </c>
      <c r="F64" s="7" t="s">
        <v>30</v>
      </c>
      <c r="G64" s="7" t="s">
        <v>31</v>
      </c>
      <c r="H64" s="7" t="s">
        <v>32</v>
      </c>
      <c r="I64" s="7" t="s">
        <v>33</v>
      </c>
      <c r="J64" s="7" t="s">
        <v>34</v>
      </c>
      <c r="K64" s="7" t="s">
        <v>35</v>
      </c>
      <c r="L64" s="7" t="s">
        <v>36</v>
      </c>
    </row>
    <row r="65" spans="1:12" ht="14.25" x14ac:dyDescent="0.15">
      <c r="A65" s="7" t="s">
        <v>82</v>
      </c>
      <c r="B65" s="7" t="s">
        <v>83</v>
      </c>
      <c r="C65" s="7" t="s">
        <v>61</v>
      </c>
      <c r="D65" s="7">
        <v>1500</v>
      </c>
      <c r="E65" s="7">
        <v>21</v>
      </c>
      <c r="F65" s="7">
        <v>1500</v>
      </c>
      <c r="G65" s="7">
        <v>110</v>
      </c>
      <c r="H65" s="7">
        <v>44</v>
      </c>
      <c r="I65" s="7">
        <v>1654</v>
      </c>
      <c r="J65" s="7">
        <v>109</v>
      </c>
      <c r="K65" s="7">
        <v>111.7</v>
      </c>
      <c r="L65" s="7">
        <v>1542.3</v>
      </c>
    </row>
    <row r="66" spans="1:12" ht="6.95" customHeight="1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ht="14.25" x14ac:dyDescent="0.15">
      <c r="A67" s="7" t="s">
        <v>25</v>
      </c>
      <c r="B67" s="7" t="s">
        <v>26</v>
      </c>
      <c r="C67" s="7" t="s">
        <v>27</v>
      </c>
      <c r="D67" s="7" t="s">
        <v>28</v>
      </c>
      <c r="E67" s="7" t="s">
        <v>29</v>
      </c>
      <c r="F67" s="7" t="s">
        <v>30</v>
      </c>
      <c r="G67" s="7" t="s">
        <v>31</v>
      </c>
      <c r="H67" s="7" t="s">
        <v>32</v>
      </c>
      <c r="I67" s="7" t="s">
        <v>33</v>
      </c>
      <c r="J67" s="7" t="s">
        <v>34</v>
      </c>
      <c r="K67" s="7" t="s">
        <v>35</v>
      </c>
      <c r="L67" s="7" t="s">
        <v>36</v>
      </c>
    </row>
    <row r="68" spans="1:12" ht="14.25" x14ac:dyDescent="0.15">
      <c r="A68" s="7" t="s">
        <v>84</v>
      </c>
      <c r="B68" s="7" t="s">
        <v>85</v>
      </c>
      <c r="C68" s="7" t="s">
        <v>61</v>
      </c>
      <c r="D68" s="7">
        <v>1500</v>
      </c>
      <c r="E68" s="7">
        <v>21</v>
      </c>
      <c r="F68" s="7">
        <v>1500</v>
      </c>
      <c r="G68" s="7">
        <v>115</v>
      </c>
      <c r="H68" s="7">
        <v>43</v>
      </c>
      <c r="I68" s="7">
        <v>1658</v>
      </c>
      <c r="J68" s="7">
        <v>108</v>
      </c>
      <c r="K68" s="7">
        <v>110.9</v>
      </c>
      <c r="L68" s="7">
        <v>1547.1</v>
      </c>
    </row>
    <row r="69" spans="1:12" ht="6.95" customHeight="1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ht="14.25" x14ac:dyDescent="0.15">
      <c r="A70" s="7" t="s">
        <v>25</v>
      </c>
      <c r="B70" s="7" t="s">
        <v>26</v>
      </c>
      <c r="C70" s="7" t="s">
        <v>27</v>
      </c>
      <c r="D70" s="7" t="s">
        <v>28</v>
      </c>
      <c r="E70" s="7" t="s">
        <v>29</v>
      </c>
      <c r="F70" s="7" t="s">
        <v>30</v>
      </c>
      <c r="G70" s="7" t="s">
        <v>31</v>
      </c>
      <c r="H70" s="7" t="s">
        <v>32</v>
      </c>
      <c r="I70" s="7" t="s">
        <v>33</v>
      </c>
      <c r="J70" s="7" t="s">
        <v>34</v>
      </c>
      <c r="K70" s="7" t="s">
        <v>35</v>
      </c>
      <c r="L70" s="7" t="s">
        <v>36</v>
      </c>
    </row>
    <row r="71" spans="1:12" ht="14.25" x14ac:dyDescent="0.15">
      <c r="A71" s="7" t="s">
        <v>86</v>
      </c>
      <c r="B71" s="7" t="s">
        <v>87</v>
      </c>
      <c r="C71" s="7" t="s">
        <v>61</v>
      </c>
      <c r="D71" s="7">
        <v>1500</v>
      </c>
      <c r="E71" s="7">
        <v>21</v>
      </c>
      <c r="F71" s="7">
        <v>1500</v>
      </c>
      <c r="G71" s="7">
        <v>120</v>
      </c>
      <c r="H71" s="7">
        <v>42</v>
      </c>
      <c r="I71" s="7">
        <v>1662</v>
      </c>
      <c r="J71" s="7">
        <v>107</v>
      </c>
      <c r="K71" s="7">
        <v>110.1</v>
      </c>
      <c r="L71" s="7">
        <v>1551.9</v>
      </c>
    </row>
    <row r="72" spans="1:12" ht="6.95" customHeight="1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ht="14.25" x14ac:dyDescent="0.15">
      <c r="A73" s="7" t="s">
        <v>25</v>
      </c>
      <c r="B73" s="7" t="s">
        <v>26</v>
      </c>
      <c r="C73" s="7" t="s">
        <v>27</v>
      </c>
      <c r="D73" s="7" t="s">
        <v>28</v>
      </c>
      <c r="E73" s="7" t="s">
        <v>29</v>
      </c>
      <c r="F73" s="7" t="s">
        <v>30</v>
      </c>
      <c r="G73" s="7" t="s">
        <v>31</v>
      </c>
      <c r="H73" s="7" t="s">
        <v>32</v>
      </c>
      <c r="I73" s="7" t="s">
        <v>33</v>
      </c>
      <c r="J73" s="7" t="s">
        <v>34</v>
      </c>
      <c r="K73" s="7" t="s">
        <v>35</v>
      </c>
      <c r="L73" s="7" t="s">
        <v>36</v>
      </c>
    </row>
    <row r="74" spans="1:12" ht="14.25" x14ac:dyDescent="0.15">
      <c r="A74" s="7" t="s">
        <v>88</v>
      </c>
      <c r="B74" s="7" t="s">
        <v>89</v>
      </c>
      <c r="C74" s="7" t="s">
        <v>61</v>
      </c>
      <c r="D74" s="7">
        <v>1500</v>
      </c>
      <c r="E74" s="7">
        <v>21</v>
      </c>
      <c r="F74" s="7">
        <v>1500</v>
      </c>
      <c r="G74" s="7">
        <v>125</v>
      </c>
      <c r="H74" s="7">
        <v>41</v>
      </c>
      <c r="I74" s="7">
        <v>1666</v>
      </c>
      <c r="J74" s="7">
        <v>106</v>
      </c>
      <c r="K74" s="7">
        <v>109.3</v>
      </c>
      <c r="L74" s="7">
        <v>1556.7</v>
      </c>
    </row>
    <row r="75" spans="1:12" ht="6.95" customHeight="1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ht="14.25" x14ac:dyDescent="0.15">
      <c r="A76" s="7" t="s">
        <v>25</v>
      </c>
      <c r="B76" s="7" t="s">
        <v>26</v>
      </c>
      <c r="C76" s="7" t="s">
        <v>27</v>
      </c>
      <c r="D76" s="7" t="s">
        <v>28</v>
      </c>
      <c r="E76" s="7" t="s">
        <v>29</v>
      </c>
      <c r="F76" s="7" t="s">
        <v>30</v>
      </c>
      <c r="G76" s="7" t="s">
        <v>31</v>
      </c>
      <c r="H76" s="7" t="s">
        <v>32</v>
      </c>
      <c r="I76" s="7" t="s">
        <v>33</v>
      </c>
      <c r="J76" s="7" t="s">
        <v>34</v>
      </c>
      <c r="K76" s="7" t="s">
        <v>35</v>
      </c>
      <c r="L76" s="7" t="s">
        <v>36</v>
      </c>
    </row>
    <row r="77" spans="1:12" ht="14.25" x14ac:dyDescent="0.15">
      <c r="A77" s="7" t="s">
        <v>90</v>
      </c>
      <c r="B77" s="7" t="s">
        <v>91</v>
      </c>
      <c r="C77" s="7" t="s">
        <v>61</v>
      </c>
      <c r="D77" s="7">
        <v>1500</v>
      </c>
      <c r="E77" s="7">
        <v>21</v>
      </c>
      <c r="F77" s="7">
        <v>1500</v>
      </c>
      <c r="G77" s="7">
        <v>130</v>
      </c>
      <c r="H77" s="7">
        <v>40</v>
      </c>
      <c r="I77" s="7">
        <v>1670</v>
      </c>
      <c r="J77" s="7">
        <v>105</v>
      </c>
      <c r="K77" s="7">
        <v>108.5</v>
      </c>
      <c r="L77" s="7">
        <v>1561.5</v>
      </c>
    </row>
    <row r="78" spans="1:12" ht="6.95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ht="14.25" x14ac:dyDescent="0.15">
      <c r="A79" s="7" t="s">
        <v>25</v>
      </c>
      <c r="B79" s="7" t="s">
        <v>26</v>
      </c>
      <c r="C79" s="7" t="s">
        <v>27</v>
      </c>
      <c r="D79" s="7" t="s">
        <v>28</v>
      </c>
      <c r="E79" s="7" t="s">
        <v>29</v>
      </c>
      <c r="F79" s="7" t="s">
        <v>30</v>
      </c>
      <c r="G79" s="7" t="s">
        <v>31</v>
      </c>
      <c r="H79" s="7" t="s">
        <v>32</v>
      </c>
      <c r="I79" s="7" t="s">
        <v>33</v>
      </c>
      <c r="J79" s="7" t="s">
        <v>34</v>
      </c>
      <c r="K79" s="7" t="s">
        <v>35</v>
      </c>
      <c r="L79" s="7" t="s">
        <v>36</v>
      </c>
    </row>
    <row r="80" spans="1:12" ht="14.25" x14ac:dyDescent="0.15">
      <c r="A80" s="7" t="s">
        <v>92</v>
      </c>
      <c r="B80" s="7" t="s">
        <v>93</v>
      </c>
      <c r="C80" s="7" t="s">
        <v>61</v>
      </c>
      <c r="D80" s="7">
        <v>1500</v>
      </c>
      <c r="E80" s="7">
        <v>21</v>
      </c>
      <c r="F80" s="7">
        <v>1500</v>
      </c>
      <c r="G80" s="7">
        <v>135</v>
      </c>
      <c r="H80" s="7">
        <v>39</v>
      </c>
      <c r="I80" s="7">
        <v>1674</v>
      </c>
      <c r="J80" s="7">
        <v>104</v>
      </c>
      <c r="K80" s="7">
        <v>107.7</v>
      </c>
      <c r="L80" s="7">
        <v>1566.3</v>
      </c>
    </row>
    <row r="81" spans="1:12" ht="6.95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ht="14.25" x14ac:dyDescent="0.15">
      <c r="A82" s="7" t="s">
        <v>25</v>
      </c>
      <c r="B82" s="7" t="s">
        <v>26</v>
      </c>
      <c r="C82" s="7" t="s">
        <v>27</v>
      </c>
      <c r="D82" s="7" t="s">
        <v>28</v>
      </c>
      <c r="E82" s="7" t="s">
        <v>29</v>
      </c>
      <c r="F82" s="7" t="s">
        <v>30</v>
      </c>
      <c r="G82" s="7" t="s">
        <v>31</v>
      </c>
      <c r="H82" s="7" t="s">
        <v>32</v>
      </c>
      <c r="I82" s="7" t="s">
        <v>33</v>
      </c>
      <c r="J82" s="7" t="s">
        <v>34</v>
      </c>
      <c r="K82" s="7" t="s">
        <v>35</v>
      </c>
      <c r="L82" s="7" t="s">
        <v>36</v>
      </c>
    </row>
    <row r="83" spans="1:12" ht="14.25" x14ac:dyDescent="0.15">
      <c r="A83" s="7" t="s">
        <v>94</v>
      </c>
      <c r="B83" s="7" t="s">
        <v>95</v>
      </c>
      <c r="C83" s="7" t="s">
        <v>61</v>
      </c>
      <c r="D83" s="7">
        <v>1500</v>
      </c>
      <c r="E83" s="7">
        <v>21</v>
      </c>
      <c r="F83" s="7">
        <v>1500</v>
      </c>
      <c r="G83" s="7">
        <v>140</v>
      </c>
      <c r="H83" s="7">
        <v>38</v>
      </c>
      <c r="I83" s="7">
        <v>1678</v>
      </c>
      <c r="J83" s="7">
        <v>103</v>
      </c>
      <c r="K83" s="7">
        <v>106.9</v>
      </c>
      <c r="L83" s="7">
        <v>1571.1</v>
      </c>
    </row>
    <row r="84" spans="1:12" ht="6.95" customHeight="1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ht="14.25" x14ac:dyDescent="0.15">
      <c r="A85" s="7" t="s">
        <v>25</v>
      </c>
      <c r="B85" s="7" t="s">
        <v>26</v>
      </c>
      <c r="C85" s="7" t="s">
        <v>27</v>
      </c>
      <c r="D85" s="7" t="s">
        <v>28</v>
      </c>
      <c r="E85" s="7" t="s">
        <v>29</v>
      </c>
      <c r="F85" s="7" t="s">
        <v>30</v>
      </c>
      <c r="G85" s="7" t="s">
        <v>31</v>
      </c>
      <c r="H85" s="7" t="s">
        <v>32</v>
      </c>
      <c r="I85" s="7" t="s">
        <v>33</v>
      </c>
      <c r="J85" s="7" t="s">
        <v>34</v>
      </c>
      <c r="K85" s="7" t="s">
        <v>35</v>
      </c>
      <c r="L85" s="7" t="s">
        <v>36</v>
      </c>
    </row>
    <row r="86" spans="1:12" ht="14.25" x14ac:dyDescent="0.15">
      <c r="A86" s="7" t="s">
        <v>96</v>
      </c>
      <c r="B86" s="7" t="s">
        <v>97</v>
      </c>
      <c r="C86" s="7" t="s">
        <v>61</v>
      </c>
      <c r="D86" s="7">
        <v>1500</v>
      </c>
      <c r="E86" s="7">
        <v>21</v>
      </c>
      <c r="F86" s="7">
        <v>1500</v>
      </c>
      <c r="G86" s="7">
        <v>145</v>
      </c>
      <c r="H86" s="7">
        <v>37</v>
      </c>
      <c r="I86" s="7">
        <v>1682</v>
      </c>
      <c r="J86" s="7">
        <v>102</v>
      </c>
      <c r="K86" s="7">
        <v>106.1</v>
      </c>
      <c r="L86" s="7">
        <v>1575.9</v>
      </c>
    </row>
    <row r="87" spans="1:12" ht="6.95" customHeight="1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ht="14.25" x14ac:dyDescent="0.15">
      <c r="A88" s="7" t="s">
        <v>25</v>
      </c>
      <c r="B88" s="7" t="s">
        <v>26</v>
      </c>
      <c r="C88" s="7" t="s">
        <v>27</v>
      </c>
      <c r="D88" s="7" t="s">
        <v>28</v>
      </c>
      <c r="E88" s="7" t="s">
        <v>29</v>
      </c>
      <c r="F88" s="7" t="s">
        <v>30</v>
      </c>
      <c r="G88" s="7" t="s">
        <v>31</v>
      </c>
      <c r="H88" s="7" t="s">
        <v>32</v>
      </c>
      <c r="I88" s="7" t="s">
        <v>33</v>
      </c>
      <c r="J88" s="7" t="s">
        <v>34</v>
      </c>
      <c r="K88" s="7" t="s">
        <v>35</v>
      </c>
      <c r="L88" s="7" t="s">
        <v>36</v>
      </c>
    </row>
    <row r="89" spans="1:12" ht="14.25" x14ac:dyDescent="0.15">
      <c r="A89" s="7" t="s">
        <v>98</v>
      </c>
      <c r="B89" s="7" t="s">
        <v>99</v>
      </c>
      <c r="C89" s="7" t="s">
        <v>61</v>
      </c>
      <c r="D89" s="7">
        <v>1500</v>
      </c>
      <c r="E89" s="7">
        <v>21</v>
      </c>
      <c r="F89" s="7">
        <v>1500</v>
      </c>
      <c r="G89" s="7">
        <v>150</v>
      </c>
      <c r="H89" s="7">
        <v>36</v>
      </c>
      <c r="I89" s="7">
        <v>1686</v>
      </c>
      <c r="J89" s="7">
        <v>101</v>
      </c>
      <c r="K89" s="7">
        <v>105.3</v>
      </c>
      <c r="L89" s="7">
        <v>1580.7</v>
      </c>
    </row>
    <row r="90" spans="1:12" ht="6.95" customHeight="1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ht="14.25" x14ac:dyDescent="0.15">
      <c r="A91" s="7" t="s">
        <v>25</v>
      </c>
      <c r="B91" s="7" t="s">
        <v>26</v>
      </c>
      <c r="C91" s="7" t="s">
        <v>27</v>
      </c>
      <c r="D91" s="7" t="s">
        <v>28</v>
      </c>
      <c r="E91" s="7" t="s">
        <v>29</v>
      </c>
      <c r="F91" s="7" t="s">
        <v>30</v>
      </c>
      <c r="G91" s="7" t="s">
        <v>31</v>
      </c>
      <c r="H91" s="7" t="s">
        <v>32</v>
      </c>
      <c r="I91" s="7" t="s">
        <v>33</v>
      </c>
      <c r="J91" s="7" t="s">
        <v>34</v>
      </c>
      <c r="K91" s="7" t="s">
        <v>35</v>
      </c>
      <c r="L91" s="7" t="s">
        <v>36</v>
      </c>
    </row>
    <row r="92" spans="1:12" ht="14.25" x14ac:dyDescent="0.15">
      <c r="A92" s="7" t="s">
        <v>100</v>
      </c>
      <c r="B92" s="7" t="s">
        <v>101</v>
      </c>
      <c r="C92" s="7" t="s">
        <v>61</v>
      </c>
      <c r="D92" s="7">
        <v>1500</v>
      </c>
      <c r="E92" s="7">
        <v>21</v>
      </c>
      <c r="F92" s="7">
        <v>1500</v>
      </c>
      <c r="G92" s="7">
        <v>155</v>
      </c>
      <c r="H92" s="7">
        <v>35</v>
      </c>
      <c r="I92" s="7">
        <v>1690</v>
      </c>
      <c r="J92" s="7">
        <v>100</v>
      </c>
      <c r="K92" s="7">
        <v>104.5</v>
      </c>
      <c r="L92" s="7">
        <v>1585.5</v>
      </c>
    </row>
    <row r="93" spans="1:12" ht="6.95" customHeight="1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ht="14.25" x14ac:dyDescent="0.15">
      <c r="A94" s="7" t="s">
        <v>25</v>
      </c>
      <c r="B94" s="7" t="s">
        <v>26</v>
      </c>
      <c r="C94" s="7" t="s">
        <v>27</v>
      </c>
      <c r="D94" s="7" t="s">
        <v>28</v>
      </c>
      <c r="E94" s="7" t="s">
        <v>29</v>
      </c>
      <c r="F94" s="7" t="s">
        <v>30</v>
      </c>
      <c r="G94" s="7" t="s">
        <v>31</v>
      </c>
      <c r="H94" s="7" t="s">
        <v>32</v>
      </c>
      <c r="I94" s="7" t="s">
        <v>33</v>
      </c>
      <c r="J94" s="7" t="s">
        <v>34</v>
      </c>
      <c r="K94" s="7" t="s">
        <v>35</v>
      </c>
      <c r="L94" s="7" t="s">
        <v>36</v>
      </c>
    </row>
    <row r="95" spans="1:12" ht="14.25" x14ac:dyDescent="0.15">
      <c r="A95" s="7" t="s">
        <v>102</v>
      </c>
      <c r="B95" s="7" t="s">
        <v>103</v>
      </c>
      <c r="C95" s="7" t="s">
        <v>61</v>
      </c>
      <c r="D95" s="7">
        <v>1500</v>
      </c>
      <c r="E95" s="7">
        <v>21</v>
      </c>
      <c r="F95" s="7">
        <v>1500</v>
      </c>
      <c r="G95" s="7">
        <v>160</v>
      </c>
      <c r="H95" s="7">
        <v>34</v>
      </c>
      <c r="I95" s="7">
        <v>1694</v>
      </c>
      <c r="J95" s="7">
        <v>99</v>
      </c>
      <c r="K95" s="7">
        <v>103.7</v>
      </c>
      <c r="L95" s="7">
        <v>1590.3</v>
      </c>
    </row>
    <row r="96" spans="1:12" ht="6.95" customHeight="1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ht="14.25" x14ac:dyDescent="0.15">
      <c r="A97" s="7" t="s">
        <v>25</v>
      </c>
      <c r="B97" s="7" t="s">
        <v>26</v>
      </c>
      <c r="C97" s="7" t="s">
        <v>27</v>
      </c>
      <c r="D97" s="7" t="s">
        <v>28</v>
      </c>
      <c r="E97" s="7" t="s">
        <v>29</v>
      </c>
      <c r="F97" s="7" t="s">
        <v>30</v>
      </c>
      <c r="G97" s="7" t="s">
        <v>31</v>
      </c>
      <c r="H97" s="7" t="s">
        <v>32</v>
      </c>
      <c r="I97" s="7" t="s">
        <v>33</v>
      </c>
      <c r="J97" s="7" t="s">
        <v>34</v>
      </c>
      <c r="K97" s="7" t="s">
        <v>35</v>
      </c>
      <c r="L97" s="7" t="s">
        <v>36</v>
      </c>
    </row>
    <row r="98" spans="1:12" ht="14.25" x14ac:dyDescent="0.15">
      <c r="A98" s="7" t="s">
        <v>104</v>
      </c>
      <c r="B98" s="7" t="s">
        <v>105</v>
      </c>
      <c r="C98" s="7" t="s">
        <v>61</v>
      </c>
      <c r="D98" s="7">
        <v>1500</v>
      </c>
      <c r="E98" s="7">
        <v>21</v>
      </c>
      <c r="F98" s="7">
        <v>1500</v>
      </c>
      <c r="G98" s="7">
        <v>165</v>
      </c>
      <c r="H98" s="7">
        <v>33</v>
      </c>
      <c r="I98" s="7">
        <v>1698</v>
      </c>
      <c r="J98" s="7">
        <v>98</v>
      </c>
      <c r="K98" s="7">
        <v>102.9</v>
      </c>
      <c r="L98" s="7">
        <v>1595.1</v>
      </c>
    </row>
    <row r="99" spans="1:12" ht="6.95" customHeight="1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ht="14.25" x14ac:dyDescent="0.15">
      <c r="A100" s="7" t="s">
        <v>25</v>
      </c>
      <c r="B100" s="7" t="s">
        <v>26</v>
      </c>
      <c r="C100" s="7" t="s">
        <v>27</v>
      </c>
      <c r="D100" s="7" t="s">
        <v>28</v>
      </c>
      <c r="E100" s="7" t="s">
        <v>29</v>
      </c>
      <c r="F100" s="7" t="s">
        <v>30</v>
      </c>
      <c r="G100" s="7" t="s">
        <v>31</v>
      </c>
      <c r="H100" s="7" t="s">
        <v>32</v>
      </c>
      <c r="I100" s="7" t="s">
        <v>33</v>
      </c>
      <c r="J100" s="7" t="s">
        <v>34</v>
      </c>
      <c r="K100" s="7" t="s">
        <v>35</v>
      </c>
      <c r="L100" s="7" t="s">
        <v>36</v>
      </c>
    </row>
    <row r="101" spans="1:12" ht="14.25" x14ac:dyDescent="0.15">
      <c r="A101" s="7" t="s">
        <v>106</v>
      </c>
      <c r="B101" s="7" t="s">
        <v>107</v>
      </c>
      <c r="C101" s="7" t="s">
        <v>61</v>
      </c>
      <c r="D101" s="7">
        <v>1500</v>
      </c>
      <c r="E101" s="7">
        <v>21</v>
      </c>
      <c r="F101" s="7">
        <v>1500</v>
      </c>
      <c r="G101" s="7">
        <v>170</v>
      </c>
      <c r="H101" s="7">
        <v>32</v>
      </c>
      <c r="I101" s="7">
        <v>1702</v>
      </c>
      <c r="J101" s="7">
        <v>97</v>
      </c>
      <c r="K101" s="7">
        <v>102.1</v>
      </c>
      <c r="L101" s="7">
        <v>1599.9</v>
      </c>
    </row>
    <row r="102" spans="1:12" ht="6.95" customHeight="1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4.25" x14ac:dyDescent="0.15">
      <c r="A103" s="7" t="s">
        <v>25</v>
      </c>
      <c r="B103" s="7" t="s">
        <v>26</v>
      </c>
      <c r="C103" s="7" t="s">
        <v>27</v>
      </c>
      <c r="D103" s="7" t="s">
        <v>28</v>
      </c>
      <c r="E103" s="7" t="s">
        <v>29</v>
      </c>
      <c r="F103" s="7" t="s">
        <v>30</v>
      </c>
      <c r="G103" s="7" t="s">
        <v>31</v>
      </c>
      <c r="H103" s="7" t="s">
        <v>32</v>
      </c>
      <c r="I103" s="7" t="s">
        <v>33</v>
      </c>
      <c r="J103" s="7" t="s">
        <v>34</v>
      </c>
      <c r="K103" s="7" t="s">
        <v>35</v>
      </c>
      <c r="L103" s="7" t="s">
        <v>36</v>
      </c>
    </row>
    <row r="104" spans="1:12" ht="14.25" x14ac:dyDescent="0.15">
      <c r="A104" s="7" t="s">
        <v>108</v>
      </c>
      <c r="B104" s="7" t="s">
        <v>109</v>
      </c>
      <c r="C104" s="7" t="s">
        <v>61</v>
      </c>
      <c r="D104" s="7">
        <v>1500</v>
      </c>
      <c r="E104" s="7">
        <v>21</v>
      </c>
      <c r="F104" s="7">
        <v>1500</v>
      </c>
      <c r="G104" s="7">
        <v>175</v>
      </c>
      <c r="H104" s="7">
        <v>31</v>
      </c>
      <c r="I104" s="7">
        <v>1706</v>
      </c>
      <c r="J104" s="7">
        <v>96</v>
      </c>
      <c r="K104" s="7">
        <v>101.3</v>
      </c>
      <c r="L104" s="7">
        <v>1604.7</v>
      </c>
    </row>
    <row r="105" spans="1:12" ht="6.95" customHeight="1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4.25" x14ac:dyDescent="0.15">
      <c r="A106" s="7" t="s">
        <v>25</v>
      </c>
      <c r="B106" s="7" t="s">
        <v>26</v>
      </c>
      <c r="C106" s="7" t="s">
        <v>27</v>
      </c>
      <c r="D106" s="7" t="s">
        <v>28</v>
      </c>
      <c r="E106" s="7" t="s">
        <v>29</v>
      </c>
      <c r="F106" s="7" t="s">
        <v>30</v>
      </c>
      <c r="G106" s="7" t="s">
        <v>31</v>
      </c>
      <c r="H106" s="7" t="s">
        <v>32</v>
      </c>
      <c r="I106" s="7" t="s">
        <v>33</v>
      </c>
      <c r="J106" s="7" t="s">
        <v>34</v>
      </c>
      <c r="K106" s="7" t="s">
        <v>35</v>
      </c>
      <c r="L106" s="7" t="s">
        <v>36</v>
      </c>
    </row>
    <row r="107" spans="1:12" ht="14.25" x14ac:dyDescent="0.15">
      <c r="A107" s="7" t="s">
        <v>110</v>
      </c>
      <c r="B107" s="7" t="s">
        <v>111</v>
      </c>
      <c r="C107" s="7" t="s">
        <v>112</v>
      </c>
      <c r="D107" s="7">
        <v>800</v>
      </c>
      <c r="E107" s="7">
        <v>21</v>
      </c>
      <c r="F107" s="7">
        <v>800</v>
      </c>
      <c r="G107" s="7">
        <v>180</v>
      </c>
      <c r="H107" s="7">
        <v>30</v>
      </c>
      <c r="I107" s="7">
        <v>1010</v>
      </c>
      <c r="J107" s="7">
        <v>95</v>
      </c>
      <c r="K107" s="7">
        <v>95</v>
      </c>
      <c r="L107" s="7">
        <v>915</v>
      </c>
    </row>
    <row r="108" spans="1:12" ht="6.95" customHeight="1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4.25" x14ac:dyDescent="0.15">
      <c r="A109" s="7" t="s">
        <v>25</v>
      </c>
      <c r="B109" s="7" t="s">
        <v>26</v>
      </c>
      <c r="C109" s="7" t="s">
        <v>27</v>
      </c>
      <c r="D109" s="7" t="s">
        <v>28</v>
      </c>
      <c r="E109" s="7" t="s">
        <v>29</v>
      </c>
      <c r="F109" s="7" t="s">
        <v>30</v>
      </c>
      <c r="G109" s="7" t="s">
        <v>31</v>
      </c>
      <c r="H109" s="7" t="s">
        <v>32</v>
      </c>
      <c r="I109" s="7" t="s">
        <v>33</v>
      </c>
      <c r="J109" s="7" t="s">
        <v>34</v>
      </c>
      <c r="K109" s="7" t="s">
        <v>35</v>
      </c>
      <c r="L109" s="7" t="s">
        <v>36</v>
      </c>
    </row>
    <row r="110" spans="1:12" ht="14.25" x14ac:dyDescent="0.15">
      <c r="A110" s="7" t="s">
        <v>113</v>
      </c>
      <c r="B110" s="7" t="s">
        <v>114</v>
      </c>
      <c r="C110" s="7" t="s">
        <v>112</v>
      </c>
      <c r="D110" s="7">
        <v>800</v>
      </c>
      <c r="E110" s="7">
        <v>21</v>
      </c>
      <c r="F110" s="7">
        <v>800</v>
      </c>
      <c r="G110" s="7">
        <v>185</v>
      </c>
      <c r="H110" s="7">
        <v>29</v>
      </c>
      <c r="I110" s="7">
        <v>1014</v>
      </c>
      <c r="J110" s="7">
        <v>94</v>
      </c>
      <c r="K110" s="7">
        <v>94</v>
      </c>
      <c r="L110" s="7">
        <v>920</v>
      </c>
    </row>
    <row r="111" spans="1:12" ht="6.95" customHeight="1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4.25" x14ac:dyDescent="0.15">
      <c r="A112" s="7" t="s">
        <v>25</v>
      </c>
      <c r="B112" s="7" t="s">
        <v>26</v>
      </c>
      <c r="C112" s="7" t="s">
        <v>27</v>
      </c>
      <c r="D112" s="7" t="s">
        <v>28</v>
      </c>
      <c r="E112" s="7" t="s">
        <v>29</v>
      </c>
      <c r="F112" s="7" t="s">
        <v>30</v>
      </c>
      <c r="G112" s="7" t="s">
        <v>31</v>
      </c>
      <c r="H112" s="7" t="s">
        <v>32</v>
      </c>
      <c r="I112" s="7" t="s">
        <v>33</v>
      </c>
      <c r="J112" s="7" t="s">
        <v>34</v>
      </c>
      <c r="K112" s="7" t="s">
        <v>35</v>
      </c>
      <c r="L112" s="7" t="s">
        <v>36</v>
      </c>
    </row>
    <row r="113" spans="1:12" ht="14.25" x14ac:dyDescent="0.15">
      <c r="A113" s="7" t="s">
        <v>115</v>
      </c>
      <c r="B113" s="7" t="s">
        <v>116</v>
      </c>
      <c r="C113" s="7" t="s">
        <v>112</v>
      </c>
      <c r="D113" s="7">
        <v>800</v>
      </c>
      <c r="E113" s="7">
        <v>21</v>
      </c>
      <c r="F113" s="7">
        <v>800</v>
      </c>
      <c r="G113" s="7">
        <v>190</v>
      </c>
      <c r="H113" s="7">
        <v>28</v>
      </c>
      <c r="I113" s="7">
        <v>1018</v>
      </c>
      <c r="J113" s="7">
        <v>93</v>
      </c>
      <c r="K113" s="7">
        <v>93</v>
      </c>
      <c r="L113" s="7">
        <v>925</v>
      </c>
    </row>
    <row r="114" spans="1:12" ht="6.95" customHeight="1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4.25" x14ac:dyDescent="0.15">
      <c r="A115" s="7" t="s">
        <v>25</v>
      </c>
      <c r="B115" s="7" t="s">
        <v>26</v>
      </c>
      <c r="C115" s="7" t="s">
        <v>27</v>
      </c>
      <c r="D115" s="7" t="s">
        <v>28</v>
      </c>
      <c r="E115" s="7" t="s">
        <v>29</v>
      </c>
      <c r="F115" s="7" t="s">
        <v>30</v>
      </c>
      <c r="G115" s="7" t="s">
        <v>31</v>
      </c>
      <c r="H115" s="7" t="s">
        <v>32</v>
      </c>
      <c r="I115" s="7" t="s">
        <v>33</v>
      </c>
      <c r="J115" s="7" t="s">
        <v>34</v>
      </c>
      <c r="K115" s="7" t="s">
        <v>35</v>
      </c>
      <c r="L115" s="7" t="s">
        <v>36</v>
      </c>
    </row>
    <row r="116" spans="1:12" ht="14.25" x14ac:dyDescent="0.15">
      <c r="A116" s="7" t="s">
        <v>117</v>
      </c>
      <c r="B116" s="7" t="s">
        <v>118</v>
      </c>
      <c r="C116" s="7" t="s">
        <v>112</v>
      </c>
      <c r="D116" s="7">
        <v>800</v>
      </c>
      <c r="E116" s="7">
        <v>21</v>
      </c>
      <c r="F116" s="7">
        <v>800</v>
      </c>
      <c r="G116" s="7">
        <v>195</v>
      </c>
      <c r="H116" s="7">
        <v>27</v>
      </c>
      <c r="I116" s="7">
        <v>1022</v>
      </c>
      <c r="J116" s="7">
        <v>92</v>
      </c>
      <c r="K116" s="7">
        <v>92</v>
      </c>
      <c r="L116" s="7">
        <v>930</v>
      </c>
    </row>
    <row r="117" spans="1:12" ht="6.95" customHeight="1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4.25" x14ac:dyDescent="0.15">
      <c r="A118" s="7" t="s">
        <v>25</v>
      </c>
      <c r="B118" s="7" t="s">
        <v>26</v>
      </c>
      <c r="C118" s="7" t="s">
        <v>27</v>
      </c>
      <c r="D118" s="7" t="s">
        <v>28</v>
      </c>
      <c r="E118" s="7" t="s">
        <v>29</v>
      </c>
      <c r="F118" s="7" t="s">
        <v>30</v>
      </c>
      <c r="G118" s="7" t="s">
        <v>31</v>
      </c>
      <c r="H118" s="7" t="s">
        <v>32</v>
      </c>
      <c r="I118" s="7" t="s">
        <v>33</v>
      </c>
      <c r="J118" s="7" t="s">
        <v>34</v>
      </c>
      <c r="K118" s="7" t="s">
        <v>35</v>
      </c>
      <c r="L118" s="7" t="s">
        <v>36</v>
      </c>
    </row>
    <row r="119" spans="1:12" ht="14.25" x14ac:dyDescent="0.15">
      <c r="A119" s="7" t="s">
        <v>119</v>
      </c>
      <c r="B119" s="7" t="s">
        <v>120</v>
      </c>
      <c r="C119" s="7" t="s">
        <v>112</v>
      </c>
      <c r="D119" s="7">
        <v>800</v>
      </c>
      <c r="E119" s="7">
        <v>21</v>
      </c>
      <c r="F119" s="7">
        <v>800</v>
      </c>
      <c r="G119" s="7">
        <v>200</v>
      </c>
      <c r="H119" s="7">
        <v>26</v>
      </c>
      <c r="I119" s="7">
        <v>1026</v>
      </c>
      <c r="J119" s="7">
        <v>91</v>
      </c>
      <c r="K119" s="7">
        <v>91</v>
      </c>
      <c r="L119" s="7">
        <v>935</v>
      </c>
    </row>
    <row r="120" spans="1:12" ht="6.95" customHeight="1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4.25" x14ac:dyDescent="0.15">
      <c r="A121" s="7" t="s">
        <v>25</v>
      </c>
      <c r="B121" s="7" t="s">
        <v>26</v>
      </c>
      <c r="C121" s="7" t="s">
        <v>27</v>
      </c>
      <c r="D121" s="7" t="s">
        <v>28</v>
      </c>
      <c r="E121" s="7" t="s">
        <v>29</v>
      </c>
      <c r="F121" s="7" t="s">
        <v>30</v>
      </c>
      <c r="G121" s="7" t="s">
        <v>31</v>
      </c>
      <c r="H121" s="7" t="s">
        <v>32</v>
      </c>
      <c r="I121" s="7" t="s">
        <v>33</v>
      </c>
      <c r="J121" s="7" t="s">
        <v>34</v>
      </c>
      <c r="K121" s="7" t="s">
        <v>35</v>
      </c>
      <c r="L121" s="7" t="s">
        <v>36</v>
      </c>
    </row>
    <row r="122" spans="1:12" ht="14.25" x14ac:dyDescent="0.15">
      <c r="A122" s="7" t="s">
        <v>121</v>
      </c>
      <c r="B122" s="7" t="s">
        <v>122</v>
      </c>
      <c r="C122" s="7" t="s">
        <v>112</v>
      </c>
      <c r="D122" s="7">
        <v>800</v>
      </c>
      <c r="E122" s="7">
        <v>21</v>
      </c>
      <c r="F122" s="7">
        <v>800</v>
      </c>
      <c r="G122" s="7">
        <v>205</v>
      </c>
      <c r="H122" s="7">
        <v>25</v>
      </c>
      <c r="I122" s="7">
        <v>1030</v>
      </c>
      <c r="J122" s="7">
        <v>90</v>
      </c>
      <c r="K122" s="7">
        <v>90</v>
      </c>
      <c r="L122" s="7">
        <v>940</v>
      </c>
    </row>
    <row r="123" spans="1:12" ht="6.95" customHeight="1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4.25" x14ac:dyDescent="0.15">
      <c r="A124" s="7" t="s">
        <v>25</v>
      </c>
      <c r="B124" s="7" t="s">
        <v>26</v>
      </c>
      <c r="C124" s="7" t="s">
        <v>27</v>
      </c>
      <c r="D124" s="7" t="s">
        <v>28</v>
      </c>
      <c r="E124" s="7" t="s">
        <v>29</v>
      </c>
      <c r="F124" s="7" t="s">
        <v>30</v>
      </c>
      <c r="G124" s="7" t="s">
        <v>31</v>
      </c>
      <c r="H124" s="7" t="s">
        <v>32</v>
      </c>
      <c r="I124" s="7" t="s">
        <v>33</v>
      </c>
      <c r="J124" s="7" t="s">
        <v>34</v>
      </c>
      <c r="K124" s="7" t="s">
        <v>35</v>
      </c>
      <c r="L124" s="7" t="s">
        <v>36</v>
      </c>
    </row>
    <row r="125" spans="1:12" ht="14.25" x14ac:dyDescent="0.15">
      <c r="A125" s="7" t="s">
        <v>123</v>
      </c>
      <c r="B125" s="7" t="s">
        <v>124</v>
      </c>
      <c r="C125" s="7" t="s">
        <v>112</v>
      </c>
      <c r="D125" s="7">
        <v>800</v>
      </c>
      <c r="E125" s="7">
        <v>21</v>
      </c>
      <c r="F125" s="7">
        <v>800</v>
      </c>
      <c r="G125" s="7">
        <v>210</v>
      </c>
      <c r="H125" s="7">
        <v>24</v>
      </c>
      <c r="I125" s="7">
        <v>1034</v>
      </c>
      <c r="J125" s="7">
        <v>89</v>
      </c>
      <c r="K125" s="7">
        <v>89</v>
      </c>
      <c r="L125" s="7">
        <v>945</v>
      </c>
    </row>
    <row r="126" spans="1:12" ht="6.95" customHeight="1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4.25" x14ac:dyDescent="0.15">
      <c r="A127" s="7" t="s">
        <v>25</v>
      </c>
      <c r="B127" s="7" t="s">
        <v>26</v>
      </c>
      <c r="C127" s="7" t="s">
        <v>27</v>
      </c>
      <c r="D127" s="7" t="s">
        <v>28</v>
      </c>
      <c r="E127" s="7" t="s">
        <v>29</v>
      </c>
      <c r="F127" s="7" t="s">
        <v>30</v>
      </c>
      <c r="G127" s="7" t="s">
        <v>31</v>
      </c>
      <c r="H127" s="7" t="s">
        <v>32</v>
      </c>
      <c r="I127" s="7" t="s">
        <v>33</v>
      </c>
      <c r="J127" s="7" t="s">
        <v>34</v>
      </c>
      <c r="K127" s="7" t="s">
        <v>35</v>
      </c>
      <c r="L127" s="7" t="s">
        <v>36</v>
      </c>
    </row>
    <row r="128" spans="1:12" ht="14.25" x14ac:dyDescent="0.15">
      <c r="A128" s="7" t="s">
        <v>125</v>
      </c>
      <c r="B128" s="7" t="s">
        <v>126</v>
      </c>
      <c r="C128" s="7" t="s">
        <v>112</v>
      </c>
      <c r="D128" s="7">
        <v>800</v>
      </c>
      <c r="E128" s="7">
        <v>21</v>
      </c>
      <c r="F128" s="7">
        <v>800</v>
      </c>
      <c r="G128" s="7">
        <v>215</v>
      </c>
      <c r="H128" s="7">
        <v>23</v>
      </c>
      <c r="I128" s="7">
        <v>1038</v>
      </c>
      <c r="J128" s="7">
        <v>88</v>
      </c>
      <c r="K128" s="7">
        <v>88</v>
      </c>
      <c r="L128" s="7">
        <v>950</v>
      </c>
    </row>
    <row r="129" spans="1:12" ht="6.95" customHeight="1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4.25" x14ac:dyDescent="0.15">
      <c r="A130" s="7" t="s">
        <v>25</v>
      </c>
      <c r="B130" s="7" t="s">
        <v>26</v>
      </c>
      <c r="C130" s="7" t="s">
        <v>27</v>
      </c>
      <c r="D130" s="7" t="s">
        <v>28</v>
      </c>
      <c r="E130" s="7" t="s">
        <v>29</v>
      </c>
      <c r="F130" s="7" t="s">
        <v>30</v>
      </c>
      <c r="G130" s="7" t="s">
        <v>31</v>
      </c>
      <c r="H130" s="7" t="s">
        <v>32</v>
      </c>
      <c r="I130" s="7" t="s">
        <v>33</v>
      </c>
      <c r="J130" s="7" t="s">
        <v>34</v>
      </c>
      <c r="K130" s="7" t="s">
        <v>35</v>
      </c>
      <c r="L130" s="7" t="s">
        <v>36</v>
      </c>
    </row>
    <row r="131" spans="1:12" ht="14.25" x14ac:dyDescent="0.15">
      <c r="A131" s="7" t="s">
        <v>127</v>
      </c>
      <c r="B131" s="7" t="s">
        <v>128</v>
      </c>
      <c r="C131" s="7" t="s">
        <v>112</v>
      </c>
      <c r="D131" s="7">
        <v>800</v>
      </c>
      <c r="E131" s="7">
        <v>21</v>
      </c>
      <c r="F131" s="7">
        <v>800</v>
      </c>
      <c r="G131" s="7">
        <v>220</v>
      </c>
      <c r="H131" s="7">
        <v>22</v>
      </c>
      <c r="I131" s="7">
        <v>1042</v>
      </c>
      <c r="J131" s="7">
        <v>87</v>
      </c>
      <c r="K131" s="7">
        <v>87</v>
      </c>
      <c r="L131" s="7">
        <v>955</v>
      </c>
    </row>
    <row r="132" spans="1:12" ht="6.95" customHeight="1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4.25" x14ac:dyDescent="0.15">
      <c r="A133" s="7" t="s">
        <v>25</v>
      </c>
      <c r="B133" s="7" t="s">
        <v>26</v>
      </c>
      <c r="C133" s="7" t="s">
        <v>27</v>
      </c>
      <c r="D133" s="7" t="s">
        <v>28</v>
      </c>
      <c r="E133" s="7" t="s">
        <v>29</v>
      </c>
      <c r="F133" s="7" t="s">
        <v>30</v>
      </c>
      <c r="G133" s="7" t="s">
        <v>31</v>
      </c>
      <c r="H133" s="7" t="s">
        <v>32</v>
      </c>
      <c r="I133" s="7" t="s">
        <v>33</v>
      </c>
      <c r="J133" s="7" t="s">
        <v>34</v>
      </c>
      <c r="K133" s="7" t="s">
        <v>35</v>
      </c>
      <c r="L133" s="7" t="s">
        <v>36</v>
      </c>
    </row>
    <row r="134" spans="1:12" ht="14.25" x14ac:dyDescent="0.15">
      <c r="A134" s="7" t="s">
        <v>129</v>
      </c>
      <c r="B134" s="7" t="s">
        <v>130</v>
      </c>
      <c r="C134" s="7" t="s">
        <v>112</v>
      </c>
      <c r="D134" s="7">
        <v>800</v>
      </c>
      <c r="E134" s="7">
        <v>21</v>
      </c>
      <c r="F134" s="7">
        <v>800</v>
      </c>
      <c r="G134" s="7">
        <v>225</v>
      </c>
      <c r="H134" s="7">
        <v>21</v>
      </c>
      <c r="I134" s="7">
        <v>1046</v>
      </c>
      <c r="J134" s="7">
        <v>86</v>
      </c>
      <c r="K134" s="7">
        <v>86</v>
      </c>
      <c r="L134" s="7">
        <v>960</v>
      </c>
    </row>
    <row r="135" spans="1:12" ht="6.95" customHeight="1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4.25" x14ac:dyDescent="0.15">
      <c r="A136" s="7" t="s">
        <v>25</v>
      </c>
      <c r="B136" s="7" t="s">
        <v>26</v>
      </c>
      <c r="C136" s="7" t="s">
        <v>27</v>
      </c>
      <c r="D136" s="7" t="s">
        <v>28</v>
      </c>
      <c r="E136" s="7" t="s">
        <v>29</v>
      </c>
      <c r="F136" s="7" t="s">
        <v>30</v>
      </c>
      <c r="G136" s="7" t="s">
        <v>31</v>
      </c>
      <c r="H136" s="7" t="s">
        <v>32</v>
      </c>
      <c r="I136" s="7" t="s">
        <v>33</v>
      </c>
      <c r="J136" s="7" t="s">
        <v>34</v>
      </c>
      <c r="K136" s="7" t="s">
        <v>35</v>
      </c>
      <c r="L136" s="7" t="s">
        <v>36</v>
      </c>
    </row>
    <row r="137" spans="1:12" ht="14.25" x14ac:dyDescent="0.15">
      <c r="A137" s="7" t="s">
        <v>131</v>
      </c>
      <c r="B137" s="7" t="s">
        <v>132</v>
      </c>
      <c r="C137" s="7" t="s">
        <v>112</v>
      </c>
      <c r="D137" s="7">
        <v>800</v>
      </c>
      <c r="E137" s="7">
        <v>21</v>
      </c>
      <c r="F137" s="7">
        <v>800</v>
      </c>
      <c r="G137" s="7">
        <v>230</v>
      </c>
      <c r="H137" s="7">
        <v>20</v>
      </c>
      <c r="I137" s="7">
        <v>1050</v>
      </c>
      <c r="J137" s="7">
        <v>85</v>
      </c>
      <c r="K137" s="7">
        <v>85</v>
      </c>
      <c r="L137" s="7">
        <v>965</v>
      </c>
    </row>
    <row r="138" spans="1:12" ht="6.95" customHeight="1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4.25" x14ac:dyDescent="0.15">
      <c r="A139" s="7" t="s">
        <v>25</v>
      </c>
      <c r="B139" s="7" t="s">
        <v>26</v>
      </c>
      <c r="C139" s="7" t="s">
        <v>27</v>
      </c>
      <c r="D139" s="7" t="s">
        <v>28</v>
      </c>
      <c r="E139" s="7" t="s">
        <v>29</v>
      </c>
      <c r="F139" s="7" t="s">
        <v>30</v>
      </c>
      <c r="G139" s="7" t="s">
        <v>31</v>
      </c>
      <c r="H139" s="7" t="s">
        <v>32</v>
      </c>
      <c r="I139" s="7" t="s">
        <v>33</v>
      </c>
      <c r="J139" s="7" t="s">
        <v>34</v>
      </c>
      <c r="K139" s="7" t="s">
        <v>35</v>
      </c>
      <c r="L139" s="7" t="s">
        <v>36</v>
      </c>
    </row>
    <row r="140" spans="1:12" ht="14.25" x14ac:dyDescent="0.15">
      <c r="A140" s="7" t="s">
        <v>133</v>
      </c>
      <c r="B140" s="7" t="s">
        <v>134</v>
      </c>
      <c r="C140" s="7" t="s">
        <v>112</v>
      </c>
      <c r="D140" s="7">
        <v>800</v>
      </c>
      <c r="E140" s="7">
        <v>21</v>
      </c>
      <c r="F140" s="7">
        <v>800</v>
      </c>
      <c r="G140" s="7">
        <v>235</v>
      </c>
      <c r="H140" s="7">
        <v>19</v>
      </c>
      <c r="I140" s="7">
        <v>1054</v>
      </c>
      <c r="J140" s="7">
        <v>84</v>
      </c>
      <c r="K140" s="7">
        <v>84</v>
      </c>
      <c r="L140" s="7">
        <v>970</v>
      </c>
    </row>
    <row r="141" spans="1:12" ht="6.95" customHeight="1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4.25" x14ac:dyDescent="0.15">
      <c r="A142" s="7" t="s">
        <v>25</v>
      </c>
      <c r="B142" s="7" t="s">
        <v>26</v>
      </c>
      <c r="C142" s="7" t="s">
        <v>27</v>
      </c>
      <c r="D142" s="7" t="s">
        <v>28</v>
      </c>
      <c r="E142" s="7" t="s">
        <v>29</v>
      </c>
      <c r="F142" s="7" t="s">
        <v>30</v>
      </c>
      <c r="G142" s="7" t="s">
        <v>31</v>
      </c>
      <c r="H142" s="7" t="s">
        <v>32</v>
      </c>
      <c r="I142" s="7" t="s">
        <v>33</v>
      </c>
      <c r="J142" s="7" t="s">
        <v>34</v>
      </c>
      <c r="K142" s="7" t="s">
        <v>35</v>
      </c>
      <c r="L142" s="7" t="s">
        <v>36</v>
      </c>
    </row>
    <row r="143" spans="1:12" ht="14.25" x14ac:dyDescent="0.15">
      <c r="A143" s="7" t="s">
        <v>135</v>
      </c>
      <c r="B143" s="7" t="s">
        <v>136</v>
      </c>
      <c r="C143" s="7" t="s">
        <v>112</v>
      </c>
      <c r="D143" s="7">
        <v>800</v>
      </c>
      <c r="E143" s="7">
        <v>21</v>
      </c>
      <c r="F143" s="7">
        <v>800</v>
      </c>
      <c r="G143" s="7">
        <v>240</v>
      </c>
      <c r="H143" s="7">
        <v>18</v>
      </c>
      <c r="I143" s="7">
        <v>1058</v>
      </c>
      <c r="J143" s="7">
        <v>83</v>
      </c>
      <c r="K143" s="7">
        <v>83</v>
      </c>
      <c r="L143" s="7">
        <v>975</v>
      </c>
    </row>
    <row r="144" spans="1:12" ht="6.95" customHeight="1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4.25" x14ac:dyDescent="0.15">
      <c r="A145" s="7" t="s">
        <v>25</v>
      </c>
      <c r="B145" s="7" t="s">
        <v>26</v>
      </c>
      <c r="C145" s="7" t="s">
        <v>27</v>
      </c>
      <c r="D145" s="7" t="s">
        <v>28</v>
      </c>
      <c r="E145" s="7" t="s">
        <v>29</v>
      </c>
      <c r="F145" s="7" t="s">
        <v>30</v>
      </c>
      <c r="G145" s="7" t="s">
        <v>31</v>
      </c>
      <c r="H145" s="7" t="s">
        <v>32</v>
      </c>
      <c r="I145" s="7" t="s">
        <v>33</v>
      </c>
      <c r="J145" s="7" t="s">
        <v>34</v>
      </c>
      <c r="K145" s="7" t="s">
        <v>35</v>
      </c>
      <c r="L145" s="7" t="s">
        <v>36</v>
      </c>
    </row>
    <row r="146" spans="1:12" ht="14.25" x14ac:dyDescent="0.15">
      <c r="A146" s="7" t="s">
        <v>137</v>
      </c>
      <c r="B146" s="7" t="s">
        <v>138</v>
      </c>
      <c r="C146" s="7" t="s">
        <v>112</v>
      </c>
      <c r="D146" s="7">
        <v>800</v>
      </c>
      <c r="E146" s="7">
        <v>21</v>
      </c>
      <c r="F146" s="7">
        <v>800</v>
      </c>
      <c r="G146" s="7">
        <v>245</v>
      </c>
      <c r="H146" s="7">
        <v>17</v>
      </c>
      <c r="I146" s="7">
        <v>1062</v>
      </c>
      <c r="J146" s="7">
        <v>82</v>
      </c>
      <c r="K146" s="7">
        <v>82</v>
      </c>
      <c r="L146" s="7">
        <v>980</v>
      </c>
    </row>
    <row r="147" spans="1:12" ht="6.95" customHeight="1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4.25" x14ac:dyDescent="0.15">
      <c r="A148" s="7" t="s">
        <v>25</v>
      </c>
      <c r="B148" s="7" t="s">
        <v>26</v>
      </c>
      <c r="C148" s="7" t="s">
        <v>27</v>
      </c>
      <c r="D148" s="7" t="s">
        <v>28</v>
      </c>
      <c r="E148" s="7" t="s">
        <v>29</v>
      </c>
      <c r="F148" s="7" t="s">
        <v>30</v>
      </c>
      <c r="G148" s="7" t="s">
        <v>31</v>
      </c>
      <c r="H148" s="7" t="s">
        <v>32</v>
      </c>
      <c r="I148" s="7" t="s">
        <v>33</v>
      </c>
      <c r="J148" s="7" t="s">
        <v>34</v>
      </c>
      <c r="K148" s="7" t="s">
        <v>35</v>
      </c>
      <c r="L148" s="7" t="s">
        <v>36</v>
      </c>
    </row>
    <row r="149" spans="1:12" ht="14.25" x14ac:dyDescent="0.15">
      <c r="A149" s="7" t="s">
        <v>139</v>
      </c>
      <c r="B149" s="7" t="s">
        <v>140</v>
      </c>
      <c r="C149" s="7" t="s">
        <v>112</v>
      </c>
      <c r="D149" s="7">
        <v>800</v>
      </c>
      <c r="E149" s="7">
        <v>21</v>
      </c>
      <c r="F149" s="7">
        <v>800</v>
      </c>
      <c r="G149" s="7">
        <v>250</v>
      </c>
      <c r="H149" s="7">
        <v>16</v>
      </c>
      <c r="I149" s="7">
        <v>1066</v>
      </c>
      <c r="J149" s="7">
        <v>81</v>
      </c>
      <c r="K149" s="7">
        <v>81</v>
      </c>
      <c r="L149" s="7">
        <v>985</v>
      </c>
    </row>
    <row r="150" spans="1:12" ht="6.95" customHeight="1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4.25" x14ac:dyDescent="0.15">
      <c r="A151" s="7" t="s">
        <v>25</v>
      </c>
      <c r="B151" s="7" t="s">
        <v>26</v>
      </c>
      <c r="C151" s="7" t="s">
        <v>27</v>
      </c>
      <c r="D151" s="7" t="s">
        <v>28</v>
      </c>
      <c r="E151" s="7" t="s">
        <v>29</v>
      </c>
      <c r="F151" s="7" t="s">
        <v>30</v>
      </c>
      <c r="G151" s="7" t="s">
        <v>31</v>
      </c>
      <c r="H151" s="7" t="s">
        <v>32</v>
      </c>
      <c r="I151" s="7" t="s">
        <v>33</v>
      </c>
      <c r="J151" s="7" t="s">
        <v>34</v>
      </c>
      <c r="K151" s="7" t="s">
        <v>35</v>
      </c>
      <c r="L151" s="7" t="s">
        <v>36</v>
      </c>
    </row>
    <row r="152" spans="1:12" ht="14.25" x14ac:dyDescent="0.15">
      <c r="A152" s="7" t="s">
        <v>141</v>
      </c>
      <c r="B152" s="7" t="s">
        <v>142</v>
      </c>
      <c r="C152" s="7" t="s">
        <v>112</v>
      </c>
      <c r="D152" s="7">
        <v>800</v>
      </c>
      <c r="E152" s="7">
        <v>21</v>
      </c>
      <c r="F152" s="7">
        <v>800</v>
      </c>
      <c r="G152" s="7">
        <v>255</v>
      </c>
      <c r="H152" s="7">
        <v>15</v>
      </c>
      <c r="I152" s="7">
        <v>1070</v>
      </c>
      <c r="J152" s="7">
        <v>80</v>
      </c>
      <c r="K152" s="7">
        <v>80</v>
      </c>
      <c r="L152" s="7">
        <v>990</v>
      </c>
    </row>
    <row r="153" spans="1:12" ht="6.95" customHeight="1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4.25" x14ac:dyDescent="0.15">
      <c r="A154" s="7" t="s">
        <v>25</v>
      </c>
      <c r="B154" s="7" t="s">
        <v>26</v>
      </c>
      <c r="C154" s="7" t="s">
        <v>27</v>
      </c>
      <c r="D154" s="7" t="s">
        <v>28</v>
      </c>
      <c r="E154" s="7" t="s">
        <v>29</v>
      </c>
      <c r="F154" s="7" t="s">
        <v>30</v>
      </c>
      <c r="G154" s="7" t="s">
        <v>31</v>
      </c>
      <c r="H154" s="7" t="s">
        <v>32</v>
      </c>
      <c r="I154" s="7" t="s">
        <v>33</v>
      </c>
      <c r="J154" s="7" t="s">
        <v>34</v>
      </c>
      <c r="K154" s="7" t="s">
        <v>35</v>
      </c>
      <c r="L154" s="7" t="s">
        <v>36</v>
      </c>
    </row>
    <row r="155" spans="1:12" ht="14.25" x14ac:dyDescent="0.15">
      <c r="A155" s="7" t="s">
        <v>143</v>
      </c>
      <c r="B155" s="7" t="s">
        <v>144</v>
      </c>
      <c r="C155" s="7" t="s">
        <v>112</v>
      </c>
      <c r="D155" s="7">
        <v>800</v>
      </c>
      <c r="E155" s="7">
        <v>21</v>
      </c>
      <c r="F155" s="7">
        <v>800</v>
      </c>
      <c r="G155" s="7">
        <v>260</v>
      </c>
      <c r="H155" s="7">
        <v>14</v>
      </c>
      <c r="I155" s="7">
        <v>1074</v>
      </c>
      <c r="J155" s="7">
        <v>79</v>
      </c>
      <c r="K155" s="7">
        <v>79</v>
      </c>
      <c r="L155" s="7">
        <v>995</v>
      </c>
    </row>
    <row r="156" spans="1:12" ht="6.95" customHeight="1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4.25" x14ac:dyDescent="0.15">
      <c r="A157" s="7" t="s">
        <v>25</v>
      </c>
      <c r="B157" s="7" t="s">
        <v>26</v>
      </c>
      <c r="C157" s="7" t="s">
        <v>27</v>
      </c>
      <c r="D157" s="7" t="s">
        <v>28</v>
      </c>
      <c r="E157" s="7" t="s">
        <v>29</v>
      </c>
      <c r="F157" s="7" t="s">
        <v>30</v>
      </c>
      <c r="G157" s="7" t="s">
        <v>31</v>
      </c>
      <c r="H157" s="7" t="s">
        <v>32</v>
      </c>
      <c r="I157" s="7" t="s">
        <v>33</v>
      </c>
      <c r="J157" s="7" t="s">
        <v>34</v>
      </c>
      <c r="K157" s="7" t="s">
        <v>35</v>
      </c>
      <c r="L157" s="7" t="s">
        <v>36</v>
      </c>
    </row>
    <row r="158" spans="1:12" ht="14.25" x14ac:dyDescent="0.15">
      <c r="A158" s="7" t="s">
        <v>145</v>
      </c>
      <c r="B158" s="7" t="s">
        <v>146</v>
      </c>
      <c r="C158" s="7" t="s">
        <v>112</v>
      </c>
      <c r="D158" s="7">
        <v>800</v>
      </c>
      <c r="E158" s="7">
        <v>21</v>
      </c>
      <c r="F158" s="7">
        <v>800</v>
      </c>
      <c r="G158" s="7">
        <v>265</v>
      </c>
      <c r="H158" s="7">
        <v>13</v>
      </c>
      <c r="I158" s="7">
        <v>1078</v>
      </c>
      <c r="J158" s="7">
        <v>78</v>
      </c>
      <c r="K158" s="7">
        <v>78</v>
      </c>
      <c r="L158" s="7">
        <v>1000</v>
      </c>
    </row>
    <row r="159" spans="1:12" ht="6.95" customHeight="1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4.25" x14ac:dyDescent="0.15">
      <c r="A160" s="7" t="s">
        <v>25</v>
      </c>
      <c r="B160" s="7" t="s">
        <v>26</v>
      </c>
      <c r="C160" s="7" t="s">
        <v>27</v>
      </c>
      <c r="D160" s="7" t="s">
        <v>28</v>
      </c>
      <c r="E160" s="7" t="s">
        <v>29</v>
      </c>
      <c r="F160" s="7" t="s">
        <v>30</v>
      </c>
      <c r="G160" s="7" t="s">
        <v>31</v>
      </c>
      <c r="H160" s="7" t="s">
        <v>32</v>
      </c>
      <c r="I160" s="7" t="s">
        <v>33</v>
      </c>
      <c r="J160" s="7" t="s">
        <v>34</v>
      </c>
      <c r="K160" s="7" t="s">
        <v>35</v>
      </c>
      <c r="L160" s="7" t="s">
        <v>36</v>
      </c>
    </row>
    <row r="161" spans="1:12" ht="14.25" x14ac:dyDescent="0.15">
      <c r="A161" s="7" t="s">
        <v>147</v>
      </c>
      <c r="B161" s="7" t="s">
        <v>148</v>
      </c>
      <c r="C161" s="7" t="s">
        <v>112</v>
      </c>
      <c r="D161" s="7">
        <v>800</v>
      </c>
      <c r="E161" s="7">
        <v>21</v>
      </c>
      <c r="F161" s="7">
        <v>800</v>
      </c>
      <c r="G161" s="7">
        <v>270</v>
      </c>
      <c r="H161" s="7">
        <v>12</v>
      </c>
      <c r="I161" s="7">
        <v>1082</v>
      </c>
      <c r="J161" s="7">
        <v>77</v>
      </c>
      <c r="K161" s="7">
        <v>77</v>
      </c>
      <c r="L161" s="7">
        <v>1005</v>
      </c>
    </row>
    <row r="162" spans="1:12" ht="6.95" customHeight="1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4.25" x14ac:dyDescent="0.15">
      <c r="A163" s="7" t="s">
        <v>25</v>
      </c>
      <c r="B163" s="7" t="s">
        <v>26</v>
      </c>
      <c r="C163" s="7" t="s">
        <v>27</v>
      </c>
      <c r="D163" s="7" t="s">
        <v>28</v>
      </c>
      <c r="E163" s="7" t="s">
        <v>29</v>
      </c>
      <c r="F163" s="7" t="s">
        <v>30</v>
      </c>
      <c r="G163" s="7" t="s">
        <v>31</v>
      </c>
      <c r="H163" s="7" t="s">
        <v>32</v>
      </c>
      <c r="I163" s="7" t="s">
        <v>33</v>
      </c>
      <c r="J163" s="7" t="s">
        <v>34</v>
      </c>
      <c r="K163" s="7" t="s">
        <v>35</v>
      </c>
      <c r="L163" s="7" t="s">
        <v>36</v>
      </c>
    </row>
    <row r="164" spans="1:12" ht="14.25" x14ac:dyDescent="0.15">
      <c r="A164" s="7" t="s">
        <v>149</v>
      </c>
      <c r="B164" s="7" t="s">
        <v>150</v>
      </c>
      <c r="C164" s="7" t="s">
        <v>112</v>
      </c>
      <c r="D164" s="7">
        <v>800</v>
      </c>
      <c r="E164" s="7">
        <v>21</v>
      </c>
      <c r="F164" s="7">
        <v>800</v>
      </c>
      <c r="G164" s="7">
        <v>275</v>
      </c>
      <c r="H164" s="7">
        <v>11</v>
      </c>
      <c r="I164" s="7">
        <v>1086</v>
      </c>
      <c r="J164" s="7">
        <v>76</v>
      </c>
      <c r="K164" s="7">
        <v>76</v>
      </c>
      <c r="L164" s="7">
        <v>1010</v>
      </c>
    </row>
    <row r="165" spans="1:12" ht="6.95" customHeight="1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4.25" x14ac:dyDescent="0.15">
      <c r="A166" s="7" t="s">
        <v>25</v>
      </c>
      <c r="B166" s="7" t="s">
        <v>26</v>
      </c>
      <c r="C166" s="7" t="s">
        <v>27</v>
      </c>
      <c r="D166" s="7" t="s">
        <v>28</v>
      </c>
      <c r="E166" s="7" t="s">
        <v>29</v>
      </c>
      <c r="F166" s="7" t="s">
        <v>30</v>
      </c>
      <c r="G166" s="7" t="s">
        <v>31</v>
      </c>
      <c r="H166" s="7" t="s">
        <v>32</v>
      </c>
      <c r="I166" s="7" t="s">
        <v>33</v>
      </c>
      <c r="J166" s="7" t="s">
        <v>34</v>
      </c>
      <c r="K166" s="7" t="s">
        <v>35</v>
      </c>
      <c r="L166" s="7" t="s">
        <v>36</v>
      </c>
    </row>
    <row r="167" spans="1:12" ht="14.25" x14ac:dyDescent="0.15">
      <c r="A167" s="7" t="s">
        <v>151</v>
      </c>
      <c r="B167" s="7" t="s">
        <v>152</v>
      </c>
      <c r="C167" s="7" t="s">
        <v>112</v>
      </c>
      <c r="D167" s="7">
        <v>800</v>
      </c>
      <c r="E167" s="7">
        <v>21</v>
      </c>
      <c r="F167" s="7">
        <v>800</v>
      </c>
      <c r="G167" s="7">
        <v>280</v>
      </c>
      <c r="H167" s="7">
        <v>10</v>
      </c>
      <c r="I167" s="7">
        <v>1090</v>
      </c>
      <c r="J167" s="7">
        <v>75</v>
      </c>
      <c r="K167" s="7">
        <v>75</v>
      </c>
      <c r="L167" s="7">
        <v>1015</v>
      </c>
    </row>
    <row r="168" spans="1:12" ht="6.95" customHeight="1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4.25" x14ac:dyDescent="0.15">
      <c r="A169" s="7" t="s">
        <v>25</v>
      </c>
      <c r="B169" s="7" t="s">
        <v>26</v>
      </c>
      <c r="C169" s="7" t="s">
        <v>27</v>
      </c>
      <c r="D169" s="7" t="s">
        <v>28</v>
      </c>
      <c r="E169" s="7" t="s">
        <v>29</v>
      </c>
      <c r="F169" s="7" t="s">
        <v>30</v>
      </c>
      <c r="G169" s="7" t="s">
        <v>31</v>
      </c>
      <c r="H169" s="7" t="s">
        <v>32</v>
      </c>
      <c r="I169" s="7" t="s">
        <v>33</v>
      </c>
      <c r="J169" s="7" t="s">
        <v>34</v>
      </c>
      <c r="K169" s="7" t="s">
        <v>35</v>
      </c>
      <c r="L169" s="7" t="s">
        <v>36</v>
      </c>
    </row>
    <row r="170" spans="1:12" ht="14.25" x14ac:dyDescent="0.15">
      <c r="A170" s="7" t="s">
        <v>153</v>
      </c>
      <c r="B170" s="7" t="s">
        <v>154</v>
      </c>
      <c r="C170" s="7" t="s">
        <v>112</v>
      </c>
      <c r="D170" s="7">
        <v>800</v>
      </c>
      <c r="E170" s="7">
        <v>21</v>
      </c>
      <c r="F170" s="7">
        <v>800</v>
      </c>
      <c r="G170" s="7">
        <v>285</v>
      </c>
      <c r="H170" s="7">
        <v>9</v>
      </c>
      <c r="I170" s="7">
        <v>1094</v>
      </c>
      <c r="J170" s="7">
        <v>74</v>
      </c>
      <c r="K170" s="7">
        <v>74</v>
      </c>
      <c r="L170" s="7">
        <v>1020</v>
      </c>
    </row>
    <row r="171" spans="1:12" ht="6.95" customHeight="1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4.25" x14ac:dyDescent="0.15">
      <c r="A172" s="7" t="s">
        <v>25</v>
      </c>
      <c r="B172" s="7" t="s">
        <v>26</v>
      </c>
      <c r="C172" s="7" t="s">
        <v>27</v>
      </c>
      <c r="D172" s="7" t="s">
        <v>28</v>
      </c>
      <c r="E172" s="7" t="s">
        <v>29</v>
      </c>
      <c r="F172" s="7" t="s">
        <v>30</v>
      </c>
      <c r="G172" s="7" t="s">
        <v>31</v>
      </c>
      <c r="H172" s="7" t="s">
        <v>32</v>
      </c>
      <c r="I172" s="7" t="s">
        <v>33</v>
      </c>
      <c r="J172" s="7" t="s">
        <v>34</v>
      </c>
      <c r="K172" s="7" t="s">
        <v>35</v>
      </c>
      <c r="L172" s="7" t="s">
        <v>36</v>
      </c>
    </row>
    <row r="173" spans="1:12" ht="14.25" x14ac:dyDescent="0.15">
      <c r="A173" s="7" t="s">
        <v>155</v>
      </c>
      <c r="B173" s="7" t="s">
        <v>156</v>
      </c>
      <c r="C173" s="7" t="s">
        <v>112</v>
      </c>
      <c r="D173" s="7">
        <v>800</v>
      </c>
      <c r="E173" s="7">
        <v>21</v>
      </c>
      <c r="F173" s="7">
        <v>800</v>
      </c>
      <c r="G173" s="7">
        <v>290</v>
      </c>
      <c r="H173" s="7">
        <v>8</v>
      </c>
      <c r="I173" s="7">
        <v>1098</v>
      </c>
      <c r="J173" s="7">
        <v>73</v>
      </c>
      <c r="K173" s="7">
        <v>73</v>
      </c>
      <c r="L173" s="7">
        <v>1025</v>
      </c>
    </row>
    <row r="174" spans="1:12" ht="6.95" customHeight="1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4.25" x14ac:dyDescent="0.15">
      <c r="A175" s="7" t="s">
        <v>25</v>
      </c>
      <c r="B175" s="7" t="s">
        <v>26</v>
      </c>
      <c r="C175" s="7" t="s">
        <v>27</v>
      </c>
      <c r="D175" s="7" t="s">
        <v>28</v>
      </c>
      <c r="E175" s="7" t="s">
        <v>29</v>
      </c>
      <c r="F175" s="7" t="s">
        <v>30</v>
      </c>
      <c r="G175" s="7" t="s">
        <v>31</v>
      </c>
      <c r="H175" s="7" t="s">
        <v>32</v>
      </c>
      <c r="I175" s="7" t="s">
        <v>33</v>
      </c>
      <c r="J175" s="7" t="s">
        <v>34</v>
      </c>
      <c r="K175" s="7" t="s">
        <v>35</v>
      </c>
      <c r="L175" s="7" t="s">
        <v>36</v>
      </c>
    </row>
    <row r="176" spans="1:12" ht="14.25" x14ac:dyDescent="0.15">
      <c r="A176" s="7" t="s">
        <v>157</v>
      </c>
      <c r="B176" s="7" t="s">
        <v>158</v>
      </c>
      <c r="C176" s="7" t="s">
        <v>112</v>
      </c>
      <c r="D176" s="7">
        <v>800</v>
      </c>
      <c r="E176" s="7">
        <v>21</v>
      </c>
      <c r="F176" s="7">
        <v>800</v>
      </c>
      <c r="G176" s="7">
        <v>295</v>
      </c>
      <c r="H176" s="7">
        <v>7</v>
      </c>
      <c r="I176" s="7">
        <v>1102</v>
      </c>
      <c r="J176" s="7">
        <v>72</v>
      </c>
      <c r="K176" s="7">
        <v>72</v>
      </c>
      <c r="L176" s="7">
        <v>1030</v>
      </c>
    </row>
    <row r="177" spans="1:12" ht="6.95" customHeight="1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4.25" x14ac:dyDescent="0.15">
      <c r="A178" s="7" t="s">
        <v>25</v>
      </c>
      <c r="B178" s="7" t="s">
        <v>26</v>
      </c>
      <c r="C178" s="7" t="s">
        <v>27</v>
      </c>
      <c r="D178" s="7" t="s">
        <v>28</v>
      </c>
      <c r="E178" s="7" t="s">
        <v>29</v>
      </c>
      <c r="F178" s="7" t="s">
        <v>30</v>
      </c>
      <c r="G178" s="7" t="s">
        <v>31</v>
      </c>
      <c r="H178" s="7" t="s">
        <v>32</v>
      </c>
      <c r="I178" s="7" t="s">
        <v>33</v>
      </c>
      <c r="J178" s="7" t="s">
        <v>34</v>
      </c>
      <c r="K178" s="7" t="s">
        <v>35</v>
      </c>
      <c r="L178" s="7" t="s">
        <v>36</v>
      </c>
    </row>
    <row r="179" spans="1:12" ht="14.25" x14ac:dyDescent="0.15">
      <c r="A179" s="7" t="s">
        <v>159</v>
      </c>
      <c r="B179" s="7" t="s">
        <v>160</v>
      </c>
      <c r="C179" s="7" t="s">
        <v>112</v>
      </c>
      <c r="D179" s="7">
        <v>800</v>
      </c>
      <c r="E179" s="7">
        <v>21</v>
      </c>
      <c r="F179" s="7">
        <v>800</v>
      </c>
      <c r="G179" s="7">
        <v>300</v>
      </c>
      <c r="H179" s="7">
        <v>6</v>
      </c>
      <c r="I179" s="7">
        <v>1106</v>
      </c>
      <c r="J179" s="7">
        <v>71</v>
      </c>
      <c r="K179" s="7">
        <v>71</v>
      </c>
      <c r="L179" s="7">
        <v>1035</v>
      </c>
    </row>
    <row r="180" spans="1:12" ht="6.95" customHeight="1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4.25" x14ac:dyDescent="0.15">
      <c r="A181" s="7" t="s">
        <v>25</v>
      </c>
      <c r="B181" s="7" t="s">
        <v>26</v>
      </c>
      <c r="C181" s="7" t="s">
        <v>27</v>
      </c>
      <c r="D181" s="7" t="s">
        <v>28</v>
      </c>
      <c r="E181" s="7" t="s">
        <v>29</v>
      </c>
      <c r="F181" s="7" t="s">
        <v>30</v>
      </c>
      <c r="G181" s="7" t="s">
        <v>31</v>
      </c>
      <c r="H181" s="7" t="s">
        <v>32</v>
      </c>
      <c r="I181" s="7" t="s">
        <v>33</v>
      </c>
      <c r="J181" s="7" t="s">
        <v>34</v>
      </c>
      <c r="K181" s="7" t="s">
        <v>35</v>
      </c>
      <c r="L181" s="7" t="s">
        <v>36</v>
      </c>
    </row>
    <row r="182" spans="1:12" ht="14.25" x14ac:dyDescent="0.15">
      <c r="A182" s="7" t="s">
        <v>161</v>
      </c>
      <c r="B182" s="7" t="s">
        <v>162</v>
      </c>
      <c r="C182" s="7" t="s">
        <v>112</v>
      </c>
      <c r="D182" s="7">
        <v>800</v>
      </c>
      <c r="E182" s="7">
        <v>21</v>
      </c>
      <c r="F182" s="7">
        <v>800</v>
      </c>
      <c r="G182" s="7">
        <v>305</v>
      </c>
      <c r="H182" s="7">
        <v>5</v>
      </c>
      <c r="I182" s="7">
        <v>1110</v>
      </c>
      <c r="J182" s="7">
        <v>70</v>
      </c>
      <c r="K182" s="7">
        <v>70</v>
      </c>
      <c r="L182" s="7">
        <v>1040</v>
      </c>
    </row>
    <row r="183" spans="1:12" ht="6.95" customHeight="1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4.25" x14ac:dyDescent="0.15">
      <c r="A184" s="7" t="s">
        <v>25</v>
      </c>
      <c r="B184" s="7" t="s">
        <v>26</v>
      </c>
      <c r="C184" s="7" t="s">
        <v>27</v>
      </c>
      <c r="D184" s="7" t="s">
        <v>28</v>
      </c>
      <c r="E184" s="7" t="s">
        <v>29</v>
      </c>
      <c r="F184" s="7" t="s">
        <v>30</v>
      </c>
      <c r="G184" s="7" t="s">
        <v>31</v>
      </c>
      <c r="H184" s="7" t="s">
        <v>32</v>
      </c>
      <c r="I184" s="7" t="s">
        <v>33</v>
      </c>
      <c r="J184" s="7" t="s">
        <v>34</v>
      </c>
      <c r="K184" s="7" t="s">
        <v>35</v>
      </c>
      <c r="L184" s="7" t="s">
        <v>36</v>
      </c>
    </row>
    <row r="185" spans="1:12" ht="14.25" x14ac:dyDescent="0.15">
      <c r="A185" s="7" t="s">
        <v>163</v>
      </c>
      <c r="B185" s="7" t="s">
        <v>164</v>
      </c>
      <c r="C185" s="7" t="s">
        <v>112</v>
      </c>
      <c r="D185" s="7">
        <v>800</v>
      </c>
      <c r="E185" s="7">
        <v>21</v>
      </c>
      <c r="F185" s="7">
        <v>800</v>
      </c>
      <c r="G185" s="7">
        <v>310</v>
      </c>
      <c r="H185" s="7">
        <v>4</v>
      </c>
      <c r="I185" s="7">
        <v>1114</v>
      </c>
      <c r="J185" s="7">
        <v>69</v>
      </c>
      <c r="K185" s="7">
        <v>69</v>
      </c>
      <c r="L185" s="7">
        <v>1045</v>
      </c>
    </row>
    <row r="186" spans="1:12" ht="6.95" customHeight="1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4.25" x14ac:dyDescent="0.15">
      <c r="A187" s="7" t="s">
        <v>25</v>
      </c>
      <c r="B187" s="7" t="s">
        <v>26</v>
      </c>
      <c r="C187" s="7" t="s">
        <v>27</v>
      </c>
      <c r="D187" s="7" t="s">
        <v>28</v>
      </c>
      <c r="E187" s="7" t="s">
        <v>29</v>
      </c>
      <c r="F187" s="7" t="s">
        <v>30</v>
      </c>
      <c r="G187" s="7" t="s">
        <v>31</v>
      </c>
      <c r="H187" s="7" t="s">
        <v>32</v>
      </c>
      <c r="I187" s="7" t="s">
        <v>33</v>
      </c>
      <c r="J187" s="7" t="s">
        <v>34</v>
      </c>
      <c r="K187" s="7" t="s">
        <v>35</v>
      </c>
      <c r="L187" s="7" t="s">
        <v>36</v>
      </c>
    </row>
    <row r="188" spans="1:12" ht="14.25" x14ac:dyDescent="0.15">
      <c r="A188" s="7" t="s">
        <v>165</v>
      </c>
      <c r="B188" s="7" t="s">
        <v>166</v>
      </c>
      <c r="C188" s="7" t="s">
        <v>112</v>
      </c>
      <c r="D188" s="7">
        <v>800</v>
      </c>
      <c r="E188" s="7">
        <v>21</v>
      </c>
      <c r="F188" s="7">
        <v>800</v>
      </c>
      <c r="G188" s="7">
        <v>315</v>
      </c>
      <c r="H188" s="7">
        <v>3</v>
      </c>
      <c r="I188" s="7">
        <v>1118</v>
      </c>
      <c r="J188" s="7">
        <v>68</v>
      </c>
      <c r="K188" s="7">
        <v>68</v>
      </c>
      <c r="L188" s="7">
        <v>1050</v>
      </c>
    </row>
    <row r="189" spans="1:12" ht="6.95" customHeight="1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4.25" x14ac:dyDescent="0.15">
      <c r="A190" s="7" t="s">
        <v>25</v>
      </c>
      <c r="B190" s="7" t="s">
        <v>26</v>
      </c>
      <c r="C190" s="7" t="s">
        <v>27</v>
      </c>
      <c r="D190" s="7" t="s">
        <v>28</v>
      </c>
      <c r="E190" s="7" t="s">
        <v>29</v>
      </c>
      <c r="F190" s="7" t="s">
        <v>30</v>
      </c>
      <c r="G190" s="7" t="s">
        <v>31</v>
      </c>
      <c r="H190" s="7" t="s">
        <v>32</v>
      </c>
      <c r="I190" s="7" t="s">
        <v>33</v>
      </c>
      <c r="J190" s="7" t="s">
        <v>34</v>
      </c>
      <c r="K190" s="7" t="s">
        <v>35</v>
      </c>
      <c r="L190" s="7" t="s">
        <v>36</v>
      </c>
    </row>
    <row r="191" spans="1:12" ht="14.25" x14ac:dyDescent="0.15">
      <c r="A191" s="7" t="s">
        <v>167</v>
      </c>
      <c r="B191" s="7" t="s">
        <v>168</v>
      </c>
      <c r="C191" s="7" t="s">
        <v>112</v>
      </c>
      <c r="D191" s="7">
        <v>800</v>
      </c>
      <c r="E191" s="7">
        <v>21</v>
      </c>
      <c r="F191" s="7">
        <v>800</v>
      </c>
      <c r="G191" s="7">
        <v>320</v>
      </c>
      <c r="H191" s="7">
        <v>2</v>
      </c>
      <c r="I191" s="7">
        <v>1122</v>
      </c>
      <c r="J191" s="7">
        <v>67</v>
      </c>
      <c r="K191" s="7">
        <v>67</v>
      </c>
      <c r="L191" s="7">
        <v>1055</v>
      </c>
    </row>
    <row r="192" spans="1:12" ht="6.95" customHeight="1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4.25" x14ac:dyDescent="0.15">
      <c r="A193" s="7" t="s">
        <v>25</v>
      </c>
      <c r="B193" s="7" t="s">
        <v>26</v>
      </c>
      <c r="C193" s="7" t="s">
        <v>27</v>
      </c>
      <c r="D193" s="7" t="s">
        <v>28</v>
      </c>
      <c r="E193" s="7" t="s">
        <v>29</v>
      </c>
      <c r="F193" s="7" t="s">
        <v>30</v>
      </c>
      <c r="G193" s="7" t="s">
        <v>31</v>
      </c>
      <c r="H193" s="7" t="s">
        <v>32</v>
      </c>
      <c r="I193" s="7" t="s">
        <v>33</v>
      </c>
      <c r="J193" s="7" t="s">
        <v>34</v>
      </c>
      <c r="K193" s="7" t="s">
        <v>35</v>
      </c>
      <c r="L193" s="7" t="s">
        <v>36</v>
      </c>
    </row>
    <row r="194" spans="1:12" ht="14.25" x14ac:dyDescent="0.15">
      <c r="A194" s="7" t="s">
        <v>169</v>
      </c>
      <c r="B194" s="7" t="s">
        <v>170</v>
      </c>
      <c r="C194" s="7" t="s">
        <v>112</v>
      </c>
      <c r="D194" s="7">
        <v>800</v>
      </c>
      <c r="E194" s="7">
        <v>21</v>
      </c>
      <c r="F194" s="7">
        <v>800</v>
      </c>
      <c r="G194" s="7">
        <v>325</v>
      </c>
      <c r="H194" s="7">
        <v>1</v>
      </c>
      <c r="I194" s="7">
        <v>1126</v>
      </c>
      <c r="J194" s="7">
        <v>66</v>
      </c>
      <c r="K194" s="7">
        <v>66</v>
      </c>
      <c r="L194" s="7">
        <v>1060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2017-04-17T09:56:27Z</dcterms:modified>
</cp:coreProperties>
</file>