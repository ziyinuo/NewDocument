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365" yWindow="105" windowWidth="14805" windowHeight="80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</workbook>
</file>

<file path=xl/calcChain.xml><?xml version="1.0" encoding="utf-8"?>
<calcChain xmlns="http://schemas.openxmlformats.org/spreadsheetml/2006/main">
  <c r="C52" i="4" l="1"/>
  <c r="C53" i="4" s="1"/>
  <c r="C45" i="4"/>
  <c r="C39" i="4"/>
  <c r="C28" i="4"/>
  <c r="C29" i="4" s="1"/>
  <c r="C21" i="4"/>
  <c r="C15" i="4"/>
  <c r="P10" i="2" l="1"/>
  <c r="O10" i="2"/>
  <c r="N10" i="2"/>
  <c r="M10" i="2"/>
  <c r="P9" i="2"/>
  <c r="O9" i="2"/>
  <c r="N9" i="2"/>
  <c r="M9" i="2"/>
  <c r="P8" i="2"/>
  <c r="O8" i="2"/>
  <c r="N8" i="2"/>
  <c r="M8" i="2"/>
  <c r="P7" i="2"/>
  <c r="O7" i="2"/>
  <c r="N7" i="2"/>
  <c r="M7" i="2"/>
  <c r="P6" i="2"/>
  <c r="O6" i="2"/>
  <c r="N6" i="2"/>
  <c r="M6" i="2"/>
</calcChain>
</file>

<file path=xl/comments1.xml><?xml version="1.0" encoding="utf-8"?>
<comments xmlns="http://schemas.openxmlformats.org/spreadsheetml/2006/main">
  <authors>
    <author>作者</author>
  </authors>
  <commentList>
    <comment ref="B6" authorId="0" shapeId="0">
      <text>
        <r>
          <rPr>
            <sz val="9"/>
            <color indexed="81"/>
            <rFont val="宋体"/>
            <family val="3"/>
            <charset val="134"/>
          </rPr>
          <t>优秀</t>
        </r>
      </text>
    </comment>
    <comment ref="B8" authorId="0" shapeId="0">
      <text>
        <r>
          <rPr>
            <sz val="9"/>
            <color indexed="81"/>
            <rFont val="宋体"/>
            <family val="3"/>
            <charset val="134"/>
          </rPr>
          <t>不及格</t>
        </r>
      </text>
    </comment>
    <comment ref="B9" authorId="0" shapeId="0">
      <text>
        <r>
          <rPr>
            <sz val="9"/>
            <color indexed="81"/>
            <rFont val="宋体"/>
            <family val="3"/>
            <charset val="134"/>
          </rPr>
          <t>优秀</t>
        </r>
      </text>
    </comment>
    <comment ref="B11" authorId="0" shapeId="0">
      <text>
        <r>
          <rPr>
            <sz val="9"/>
            <color indexed="81"/>
            <rFont val="宋体"/>
            <family val="3"/>
            <charset val="134"/>
          </rPr>
          <t>优秀</t>
        </r>
      </text>
    </comment>
    <comment ref="B12" authorId="0" shapeId="0">
      <text>
        <r>
          <rPr>
            <sz val="9"/>
            <color indexed="81"/>
            <rFont val="宋体"/>
            <family val="3"/>
            <charset val="134"/>
          </rPr>
          <t>不及格</t>
        </r>
      </text>
    </comment>
  </commentList>
</comments>
</file>

<file path=xl/sharedStrings.xml><?xml version="1.0" encoding="utf-8"?>
<sst xmlns="http://schemas.openxmlformats.org/spreadsheetml/2006/main" count="337" uniqueCount="164">
  <si>
    <t>知识点：什么是通配符？</t>
    <phoneticPr fontId="2" type="noConversion"/>
  </si>
  <si>
    <t>*：任意多个字符</t>
    <phoneticPr fontId="2" type="noConversion"/>
  </si>
  <si>
    <t>1.通配符应用</t>
    <phoneticPr fontId="2" type="noConversion"/>
  </si>
  <si>
    <t>？：任意单个字符</t>
    <phoneticPr fontId="2" type="noConversion"/>
  </si>
  <si>
    <t>编号</t>
    <phoneticPr fontId="2" type="noConversion"/>
  </si>
  <si>
    <t>姓名</t>
    <phoneticPr fontId="2" type="noConversion"/>
  </si>
  <si>
    <t>分数</t>
    <phoneticPr fontId="2" type="noConversion"/>
  </si>
  <si>
    <t>等级</t>
    <phoneticPr fontId="2" type="noConversion"/>
  </si>
  <si>
    <t>NED001</t>
    <phoneticPr fontId="2" type="noConversion"/>
  </si>
  <si>
    <t>闽勇锐</t>
  </si>
  <si>
    <t>优</t>
    <phoneticPr fontId="2" type="noConversion"/>
  </si>
  <si>
    <t>优</t>
    <phoneticPr fontId="2" type="noConversion"/>
  </si>
  <si>
    <t>1.查找三个字的姓名，颜色设置为红色？</t>
    <phoneticPr fontId="2" type="noConversion"/>
  </si>
  <si>
    <t>NED002</t>
  </si>
  <si>
    <t>向翰</t>
  </si>
  <si>
    <t>良</t>
    <phoneticPr fontId="2" type="noConversion"/>
  </si>
  <si>
    <t>良</t>
    <phoneticPr fontId="2" type="noConversion"/>
  </si>
  <si>
    <t>2.查找以“李”字开始的姓名。</t>
    <phoneticPr fontId="2" type="noConversion"/>
  </si>
  <si>
    <t>NED003</t>
  </si>
  <si>
    <t>郦祺</t>
  </si>
  <si>
    <t>3.按下面的要求将分数划分等级。</t>
    <phoneticPr fontId="2" type="noConversion"/>
  </si>
  <si>
    <t>NED004</t>
  </si>
  <si>
    <t>晏雪</t>
  </si>
  <si>
    <t>区间</t>
    <phoneticPr fontId="2" type="noConversion"/>
  </si>
  <si>
    <t>NED005</t>
  </si>
  <si>
    <t>耿柳</t>
  </si>
  <si>
    <t>中</t>
    <phoneticPr fontId="2" type="noConversion"/>
  </si>
  <si>
    <t>中</t>
    <phoneticPr fontId="2" type="noConversion"/>
  </si>
  <si>
    <t>&gt;=90</t>
    <phoneticPr fontId="2" type="noConversion"/>
  </si>
  <si>
    <t>NED006</t>
  </si>
  <si>
    <t>戴琴</t>
  </si>
  <si>
    <t>&gt;=80</t>
    <phoneticPr fontId="2" type="noConversion"/>
  </si>
  <si>
    <t>NED007</t>
  </si>
  <si>
    <t>公孙安</t>
    <phoneticPr fontId="2" type="noConversion"/>
  </si>
  <si>
    <t>未考</t>
    <phoneticPr fontId="2" type="noConversion"/>
  </si>
  <si>
    <t>重考</t>
    <phoneticPr fontId="2" type="noConversion"/>
  </si>
  <si>
    <t>&gt;=60</t>
    <phoneticPr fontId="2" type="noConversion"/>
  </si>
  <si>
    <t>NED008</t>
  </si>
  <si>
    <t>李妙竹</t>
    <phoneticPr fontId="2" type="noConversion"/>
  </si>
  <si>
    <t>&lt;60</t>
    <phoneticPr fontId="2" type="noConversion"/>
  </si>
  <si>
    <t>差</t>
    <phoneticPr fontId="2" type="noConversion"/>
  </si>
  <si>
    <t>NED009</t>
  </si>
  <si>
    <t>何和志</t>
  </si>
  <si>
    <t>其它</t>
    <phoneticPr fontId="2" type="noConversion"/>
  </si>
  <si>
    <t>NED010</t>
  </si>
  <si>
    <t>熊之</t>
  </si>
  <si>
    <t>NED011</t>
  </si>
  <si>
    <t>李谷</t>
    <phoneticPr fontId="2" type="noConversion"/>
  </si>
  <si>
    <t>NED012</t>
  </si>
  <si>
    <t>耿蕊</t>
  </si>
  <si>
    <t>NED013</t>
  </si>
  <si>
    <t>季扬</t>
  </si>
  <si>
    <t>NED014</t>
  </si>
  <si>
    <t>汤山槐</t>
  </si>
  <si>
    <t>NED015</t>
  </si>
  <si>
    <t>冯周</t>
  </si>
  <si>
    <t>差</t>
    <phoneticPr fontId="2" type="noConversion"/>
  </si>
  <si>
    <t>NED016</t>
  </si>
  <si>
    <t>梁珍</t>
  </si>
  <si>
    <t>请假</t>
    <phoneticPr fontId="2" type="noConversion"/>
  </si>
  <si>
    <t>NED017</t>
  </si>
  <si>
    <t>殷庆</t>
  </si>
  <si>
    <t>NED018</t>
  </si>
  <si>
    <t>相远</t>
  </si>
  <si>
    <t>NED019</t>
  </si>
  <si>
    <t>左霜</t>
  </si>
  <si>
    <t>NED020</t>
  </si>
  <si>
    <t>鞠访</t>
  </si>
  <si>
    <t>NED021</t>
  </si>
  <si>
    <t>廉然</t>
  </si>
  <si>
    <t>NED022</t>
  </si>
  <si>
    <t>赫连惜</t>
  </si>
  <si>
    <t>NED023</t>
  </si>
  <si>
    <t>楚宏博</t>
  </si>
  <si>
    <t>NED024</t>
  </si>
  <si>
    <t>经海露</t>
  </si>
  <si>
    <t>NED025</t>
  </si>
  <si>
    <t>李天</t>
    <phoneticPr fontId="2" type="noConversion"/>
  </si>
  <si>
    <t>NED026</t>
  </si>
  <si>
    <t>南门语儿</t>
  </si>
  <si>
    <t>NED027</t>
  </si>
  <si>
    <t>路怜雪</t>
  </si>
  <si>
    <t>NED028</t>
  </si>
  <si>
    <t>王千兰</t>
  </si>
  <si>
    <t>NED029</t>
  </si>
  <si>
    <t>俞明</t>
  </si>
  <si>
    <t>差</t>
    <phoneticPr fontId="2" type="noConversion"/>
  </si>
  <si>
    <t>中</t>
    <phoneticPr fontId="2" type="noConversion"/>
  </si>
  <si>
    <t>良</t>
    <phoneticPr fontId="2" type="noConversion"/>
  </si>
  <si>
    <t>优</t>
    <phoneticPr fontId="2" type="noConversion"/>
  </si>
  <si>
    <t>重考</t>
    <phoneticPr fontId="2" type="noConversion"/>
  </si>
  <si>
    <t>重考</t>
    <phoneticPr fontId="2" type="noConversion"/>
  </si>
  <si>
    <t>ctrl+enter</t>
    <phoneticPr fontId="2" type="noConversion"/>
  </si>
  <si>
    <t>1.表格转换</t>
    <phoneticPr fontId="2" type="noConversion"/>
  </si>
  <si>
    <t>分数</t>
    <phoneticPr fontId="2" type="noConversion"/>
  </si>
  <si>
    <t>魏伟兆</t>
  </si>
  <si>
    <t>蔡傲</t>
  </si>
  <si>
    <t>郁建</t>
  </si>
  <si>
    <t>艾容</t>
  </si>
  <si>
    <t>万卫</t>
  </si>
  <si>
    <t>唐凌</t>
  </si>
  <si>
    <t>戈扬</t>
  </si>
  <si>
    <t>梅蓉</t>
  </si>
  <si>
    <t>柯弘义</t>
  </si>
  <si>
    <t>黎风</t>
  </si>
  <si>
    <t>冉傲玉</t>
  </si>
  <si>
    <t>潘渺</t>
  </si>
  <si>
    <t>黄伯</t>
  </si>
  <si>
    <t>刘冬</t>
  </si>
  <si>
    <t>汪兰</t>
  </si>
  <si>
    <t>陶刚毅</t>
  </si>
  <si>
    <t>丁珍</t>
  </si>
  <si>
    <t>穆雅彤</t>
  </si>
  <si>
    <t>伏文</t>
  </si>
  <si>
    <t>陆曼</t>
  </si>
  <si>
    <t>2.另类查找替换（自动更正）</t>
    <phoneticPr fontId="2" type="noConversion"/>
  </si>
  <si>
    <t>1.批注</t>
    <phoneticPr fontId="2" type="noConversion"/>
  </si>
  <si>
    <t>a.将下表所有批注的单元格底色设置为浅红色</t>
    <phoneticPr fontId="2" type="noConversion"/>
  </si>
  <si>
    <t>b.将批注为“优秀"的批注删除</t>
    <phoneticPr fontId="2" type="noConversion"/>
  </si>
  <si>
    <t>姓名</t>
  </si>
  <si>
    <t>分数</t>
  </si>
  <si>
    <t>张三丰</t>
    <phoneticPr fontId="2" type="noConversion"/>
  </si>
  <si>
    <t>张三丰</t>
    <phoneticPr fontId="2" type="noConversion"/>
  </si>
  <si>
    <t>李四</t>
  </si>
  <si>
    <t>王五刀</t>
    <phoneticPr fontId="2" type="noConversion"/>
  </si>
  <si>
    <t>王五刀</t>
    <phoneticPr fontId="2" type="noConversion"/>
  </si>
  <si>
    <t>陈明军</t>
    <phoneticPr fontId="2" type="noConversion"/>
  </si>
  <si>
    <t>陈明军</t>
    <phoneticPr fontId="2" type="noConversion"/>
  </si>
  <si>
    <t>梁丰丰</t>
  </si>
  <si>
    <t>岳天</t>
  </si>
  <si>
    <t>周立明</t>
    <phoneticPr fontId="2" type="noConversion"/>
  </si>
  <si>
    <t>黄龙国</t>
    <phoneticPr fontId="2" type="noConversion"/>
  </si>
  <si>
    <t>常五清</t>
    <phoneticPr fontId="2" type="noConversion"/>
  </si>
  <si>
    <t>2.常量</t>
    <phoneticPr fontId="2" type="noConversion"/>
  </si>
  <si>
    <t>a.提取下表的小计及总计数据（效果如右图）</t>
    <phoneticPr fontId="2" type="noConversion"/>
  </si>
  <si>
    <t>日期</t>
  </si>
  <si>
    <t>产品名</t>
  </si>
  <si>
    <t>数量</t>
  </si>
  <si>
    <t>A1</t>
  </si>
  <si>
    <t>2015/7/7小计</t>
  </si>
  <si>
    <t>B3</t>
  </si>
  <si>
    <t>2015/7/8小计</t>
  </si>
  <si>
    <t>C3</t>
  </si>
  <si>
    <t>2015/7/9小计</t>
    <phoneticPr fontId="2" type="noConversion"/>
  </si>
  <si>
    <t>总计</t>
  </si>
  <si>
    <t>A2</t>
  </si>
  <si>
    <t>C4</t>
  </si>
  <si>
    <t>N4</t>
  </si>
  <si>
    <t>W2</t>
  </si>
  <si>
    <t>A3</t>
  </si>
  <si>
    <t>2015/7/9小计</t>
    <phoneticPr fontId="2" type="noConversion"/>
  </si>
  <si>
    <t>定位-&gt;f5</t>
    <phoneticPr fontId="2" type="noConversion"/>
  </si>
  <si>
    <t>开始-编辑-查找选择</t>
    <phoneticPr fontId="2" type="noConversion"/>
  </si>
  <si>
    <t>·</t>
    <phoneticPr fontId="2" type="noConversion"/>
  </si>
  <si>
    <t>1.公式</t>
    <phoneticPr fontId="2" type="noConversion"/>
  </si>
  <si>
    <t>数字</t>
    <phoneticPr fontId="2" type="noConversion"/>
  </si>
  <si>
    <t>文本</t>
    <phoneticPr fontId="2" type="noConversion"/>
  </si>
  <si>
    <t>逻辑值</t>
    <phoneticPr fontId="2" type="noConversion"/>
  </si>
  <si>
    <t>错误</t>
    <phoneticPr fontId="2" type="noConversion"/>
  </si>
  <si>
    <t>实例（右表变右表）</t>
    <phoneticPr fontId="2" type="noConversion"/>
  </si>
  <si>
    <t>2015/7/9小计</t>
  </si>
  <si>
    <t>2015/7/9小计</t>
    <phoneticPr fontId="2" type="noConversion"/>
  </si>
  <si>
    <t>2.空值</t>
    <phoneticPr fontId="2" type="noConversion"/>
  </si>
  <si>
    <t>实例（去除小计行）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</si>
</sst>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10" x14ac:knownFonts="1">
    <font>
      <sz val="11"/>
      <color theme="1"/>
      <name val="宋体"/>
      <family val="2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C0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76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ColWidth="9" defaultRowHeight="16.5" x14ac:dyDescent="0.35"/>
  <cols>
    <col min="1" max="16384" width="9" style="1"/>
  </cols>
  <sheetData>
    <row r="1" spans="1:11" x14ac:dyDescent="0.35">
      <c r="G1" s="1" t="s">
        <v>0</v>
      </c>
    </row>
    <row r="2" spans="1:11" x14ac:dyDescent="0.35">
      <c r="G2" s="1" t="s">
        <v>1</v>
      </c>
    </row>
    <row r="3" spans="1:11" x14ac:dyDescent="0.35">
      <c r="A3" s="1" t="s">
        <v>2</v>
      </c>
      <c r="G3" s="1" t="s">
        <v>3</v>
      </c>
    </row>
    <row r="4" spans="1:11" x14ac:dyDescent="0.35">
      <c r="A4" s="2" t="s">
        <v>4</v>
      </c>
      <c r="B4" s="2" t="s">
        <v>5</v>
      </c>
      <c r="C4" s="2" t="s">
        <v>6</v>
      </c>
      <c r="D4" s="2" t="s">
        <v>7</v>
      </c>
    </row>
    <row r="5" spans="1:11" x14ac:dyDescent="0.35">
      <c r="A5" s="2" t="s">
        <v>8</v>
      </c>
      <c r="B5" s="2" t="s">
        <v>9</v>
      </c>
      <c r="C5" s="3">
        <v>98</v>
      </c>
      <c r="D5" s="4" t="s">
        <v>10</v>
      </c>
      <c r="E5" s="3" t="s">
        <v>11</v>
      </c>
      <c r="G5" s="1" t="s">
        <v>12</v>
      </c>
    </row>
    <row r="6" spans="1:11" x14ac:dyDescent="0.35">
      <c r="A6" s="2" t="s">
        <v>13</v>
      </c>
      <c r="B6" s="2" t="s">
        <v>14</v>
      </c>
      <c r="C6" s="3">
        <v>86</v>
      </c>
      <c r="D6" s="4" t="s">
        <v>15</v>
      </c>
      <c r="E6" s="3" t="s">
        <v>15</v>
      </c>
      <c r="G6" s="1" t="s">
        <v>17</v>
      </c>
    </row>
    <row r="7" spans="1:11" x14ac:dyDescent="0.35">
      <c r="A7" s="2" t="s">
        <v>18</v>
      </c>
      <c r="B7" s="2" t="s">
        <v>19</v>
      </c>
      <c r="C7" s="3">
        <v>91</v>
      </c>
      <c r="D7" s="4" t="s">
        <v>10</v>
      </c>
      <c r="E7" s="3" t="s">
        <v>89</v>
      </c>
      <c r="G7" s="1" t="s">
        <v>20</v>
      </c>
    </row>
    <row r="8" spans="1:11" x14ac:dyDescent="0.35">
      <c r="A8" s="2" t="s">
        <v>21</v>
      </c>
      <c r="B8" s="2" t="s">
        <v>22</v>
      </c>
      <c r="C8" s="3">
        <v>92</v>
      </c>
      <c r="D8" s="4" t="s">
        <v>10</v>
      </c>
      <c r="E8" s="3" t="s">
        <v>89</v>
      </c>
      <c r="G8" s="5" t="s">
        <v>23</v>
      </c>
      <c r="H8" s="5" t="s">
        <v>7</v>
      </c>
    </row>
    <row r="9" spans="1:11" x14ac:dyDescent="0.35">
      <c r="A9" s="2" t="s">
        <v>24</v>
      </c>
      <c r="B9" s="2" t="s">
        <v>25</v>
      </c>
      <c r="C9" s="3">
        <v>75</v>
      </c>
      <c r="D9" s="4" t="s">
        <v>26</v>
      </c>
      <c r="E9" s="3" t="s">
        <v>87</v>
      </c>
      <c r="G9" s="2" t="s">
        <v>28</v>
      </c>
      <c r="H9" s="2" t="s">
        <v>10</v>
      </c>
    </row>
    <row r="10" spans="1:11" x14ac:dyDescent="0.35">
      <c r="A10" s="2" t="s">
        <v>29</v>
      </c>
      <c r="B10" s="2" t="s">
        <v>30</v>
      </c>
      <c r="C10" s="3">
        <v>97</v>
      </c>
      <c r="D10" s="4" t="s">
        <v>11</v>
      </c>
      <c r="E10" s="3" t="s">
        <v>89</v>
      </c>
      <c r="G10" s="2" t="s">
        <v>31</v>
      </c>
      <c r="H10" s="2" t="s">
        <v>15</v>
      </c>
    </row>
    <row r="11" spans="1:11" x14ac:dyDescent="0.35">
      <c r="A11" s="2" t="s">
        <v>32</v>
      </c>
      <c r="B11" s="2" t="s">
        <v>33</v>
      </c>
      <c r="C11" s="3" t="s">
        <v>34</v>
      </c>
      <c r="D11" s="4" t="s">
        <v>35</v>
      </c>
      <c r="E11" s="3" t="s">
        <v>90</v>
      </c>
      <c r="G11" s="2" t="s">
        <v>36</v>
      </c>
      <c r="H11" s="2" t="s">
        <v>26</v>
      </c>
      <c r="K11" s="1" t="s">
        <v>92</v>
      </c>
    </row>
    <row r="12" spans="1:11" x14ac:dyDescent="0.35">
      <c r="A12" s="2" t="s">
        <v>37</v>
      </c>
      <c r="B12" s="2" t="s">
        <v>38</v>
      </c>
      <c r="C12" s="3">
        <v>99</v>
      </c>
      <c r="D12" s="4" t="s">
        <v>11</v>
      </c>
      <c r="E12" s="3" t="s">
        <v>89</v>
      </c>
      <c r="G12" s="2" t="s">
        <v>39</v>
      </c>
      <c r="H12" s="2" t="s">
        <v>40</v>
      </c>
    </row>
    <row r="13" spans="1:11" x14ac:dyDescent="0.35">
      <c r="A13" s="2" t="s">
        <v>41</v>
      </c>
      <c r="B13" s="2" t="s">
        <v>42</v>
      </c>
      <c r="C13" s="3">
        <v>89</v>
      </c>
      <c r="D13" s="4" t="s">
        <v>16</v>
      </c>
      <c r="E13" s="3" t="s">
        <v>88</v>
      </c>
      <c r="G13" s="2" t="s">
        <v>43</v>
      </c>
      <c r="H13" s="2" t="s">
        <v>35</v>
      </c>
    </row>
    <row r="14" spans="1:11" x14ac:dyDescent="0.35">
      <c r="A14" s="2" t="s">
        <v>44</v>
      </c>
      <c r="B14" s="2" t="s">
        <v>45</v>
      </c>
      <c r="C14" s="3">
        <v>86</v>
      </c>
      <c r="D14" s="4" t="s">
        <v>16</v>
      </c>
      <c r="E14" s="3" t="s">
        <v>88</v>
      </c>
    </row>
    <row r="15" spans="1:11" x14ac:dyDescent="0.35">
      <c r="A15" s="2" t="s">
        <v>46</v>
      </c>
      <c r="B15" s="2" t="s">
        <v>47</v>
      </c>
      <c r="C15" s="3">
        <v>79</v>
      </c>
      <c r="D15" s="4" t="s">
        <v>26</v>
      </c>
      <c r="E15" s="3" t="s">
        <v>87</v>
      </c>
    </row>
    <row r="16" spans="1:11" x14ac:dyDescent="0.35">
      <c r="A16" s="2" t="s">
        <v>48</v>
      </c>
      <c r="B16" s="2" t="s">
        <v>49</v>
      </c>
      <c r="C16" s="3">
        <v>56</v>
      </c>
      <c r="D16" s="4" t="s">
        <v>40</v>
      </c>
      <c r="E16" s="3" t="s">
        <v>86</v>
      </c>
    </row>
    <row r="17" spans="1:5" x14ac:dyDescent="0.35">
      <c r="A17" s="2" t="s">
        <v>50</v>
      </c>
      <c r="B17" s="2" t="s">
        <v>51</v>
      </c>
      <c r="C17" s="3">
        <v>81</v>
      </c>
      <c r="D17" s="4" t="s">
        <v>15</v>
      </c>
      <c r="E17" s="3" t="s">
        <v>88</v>
      </c>
    </row>
    <row r="18" spans="1:5" x14ac:dyDescent="0.35">
      <c r="A18" s="2" t="s">
        <v>52</v>
      </c>
      <c r="B18" s="2" t="s">
        <v>53</v>
      </c>
      <c r="C18" s="3">
        <v>84</v>
      </c>
      <c r="D18" s="4" t="s">
        <v>16</v>
      </c>
      <c r="E18" s="3" t="s">
        <v>88</v>
      </c>
    </row>
    <row r="19" spans="1:5" x14ac:dyDescent="0.35">
      <c r="A19" s="2" t="s">
        <v>54</v>
      </c>
      <c r="B19" s="2" t="s">
        <v>55</v>
      </c>
      <c r="C19" s="3">
        <v>50</v>
      </c>
      <c r="D19" s="4" t="s">
        <v>40</v>
      </c>
      <c r="E19" s="3" t="s">
        <v>86</v>
      </c>
    </row>
    <row r="20" spans="1:5" x14ac:dyDescent="0.35">
      <c r="A20" s="2" t="s">
        <v>57</v>
      </c>
      <c r="B20" s="2" t="s">
        <v>58</v>
      </c>
      <c r="C20" s="3" t="s">
        <v>59</v>
      </c>
      <c r="D20" s="4" t="s">
        <v>35</v>
      </c>
      <c r="E20" s="3" t="s">
        <v>91</v>
      </c>
    </row>
    <row r="21" spans="1:5" x14ac:dyDescent="0.35">
      <c r="A21" s="2" t="s">
        <v>60</v>
      </c>
      <c r="B21" s="2" t="s">
        <v>61</v>
      </c>
      <c r="C21" s="3">
        <v>52</v>
      </c>
      <c r="D21" s="4" t="s">
        <v>56</v>
      </c>
      <c r="E21" s="3" t="s">
        <v>56</v>
      </c>
    </row>
    <row r="22" spans="1:5" x14ac:dyDescent="0.35">
      <c r="A22" s="2" t="s">
        <v>62</v>
      </c>
      <c r="B22" s="2" t="s">
        <v>63</v>
      </c>
      <c r="C22" s="3">
        <v>96</v>
      </c>
      <c r="D22" s="4" t="s">
        <v>10</v>
      </c>
      <c r="E22" s="3" t="s">
        <v>89</v>
      </c>
    </row>
    <row r="23" spans="1:5" x14ac:dyDescent="0.35">
      <c r="A23" s="2" t="s">
        <v>64</v>
      </c>
      <c r="B23" s="2" t="s">
        <v>65</v>
      </c>
      <c r="C23" s="3">
        <v>80</v>
      </c>
      <c r="D23" s="4" t="s">
        <v>16</v>
      </c>
      <c r="E23" s="3" t="s">
        <v>88</v>
      </c>
    </row>
    <row r="24" spans="1:5" x14ac:dyDescent="0.35">
      <c r="A24" s="2" t="s">
        <v>66</v>
      </c>
      <c r="B24" s="2" t="s">
        <v>67</v>
      </c>
      <c r="C24" s="3">
        <v>100</v>
      </c>
      <c r="D24" s="4" t="s">
        <v>11</v>
      </c>
      <c r="E24" s="3" t="s">
        <v>89</v>
      </c>
    </row>
    <row r="25" spans="1:5" x14ac:dyDescent="0.35">
      <c r="A25" s="2" t="s">
        <v>68</v>
      </c>
      <c r="B25" s="2" t="s">
        <v>69</v>
      </c>
      <c r="C25" s="3" t="s">
        <v>34</v>
      </c>
      <c r="D25" s="4" t="s">
        <v>35</v>
      </c>
      <c r="E25" s="3" t="s">
        <v>91</v>
      </c>
    </row>
    <row r="26" spans="1:5" x14ac:dyDescent="0.35">
      <c r="A26" s="2" t="s">
        <v>70</v>
      </c>
      <c r="B26" s="2" t="s">
        <v>71</v>
      </c>
      <c r="C26" s="3">
        <v>80</v>
      </c>
      <c r="D26" s="4" t="s">
        <v>15</v>
      </c>
      <c r="E26" s="3" t="s">
        <v>88</v>
      </c>
    </row>
    <row r="27" spans="1:5" x14ac:dyDescent="0.35">
      <c r="A27" s="2" t="s">
        <v>72</v>
      </c>
      <c r="B27" s="2" t="s">
        <v>73</v>
      </c>
      <c r="C27" s="3">
        <v>72</v>
      </c>
      <c r="D27" s="4" t="s">
        <v>26</v>
      </c>
      <c r="E27" s="3" t="s">
        <v>87</v>
      </c>
    </row>
    <row r="28" spans="1:5" x14ac:dyDescent="0.35">
      <c r="A28" s="2" t="s">
        <v>74</v>
      </c>
      <c r="B28" s="2" t="s">
        <v>75</v>
      </c>
      <c r="C28" s="3">
        <v>99</v>
      </c>
      <c r="D28" s="4" t="s">
        <v>10</v>
      </c>
      <c r="E28" s="3" t="s">
        <v>89</v>
      </c>
    </row>
    <row r="29" spans="1:5" x14ac:dyDescent="0.35">
      <c r="A29" s="2" t="s">
        <v>76</v>
      </c>
      <c r="B29" s="2" t="s">
        <v>77</v>
      </c>
      <c r="C29" s="3">
        <v>98</v>
      </c>
      <c r="D29" s="4" t="s">
        <v>11</v>
      </c>
      <c r="E29" s="3" t="s">
        <v>10</v>
      </c>
    </row>
    <row r="30" spans="1:5" x14ac:dyDescent="0.35">
      <c r="A30" s="2" t="s">
        <v>78</v>
      </c>
      <c r="B30" s="2" t="s">
        <v>79</v>
      </c>
      <c r="C30" s="3">
        <v>97</v>
      </c>
      <c r="D30" s="4" t="s">
        <v>10</v>
      </c>
      <c r="E30" s="3" t="s">
        <v>10</v>
      </c>
    </row>
    <row r="31" spans="1:5" x14ac:dyDescent="0.35">
      <c r="A31" s="2" t="s">
        <v>80</v>
      </c>
      <c r="B31" s="2" t="s">
        <v>81</v>
      </c>
      <c r="C31" s="3">
        <v>60</v>
      </c>
      <c r="D31" s="4" t="s">
        <v>27</v>
      </c>
      <c r="E31" s="3" t="s">
        <v>87</v>
      </c>
    </row>
    <row r="32" spans="1:5" x14ac:dyDescent="0.35">
      <c r="A32" s="2" t="s">
        <v>82</v>
      </c>
      <c r="B32" s="2" t="s">
        <v>83</v>
      </c>
      <c r="C32" s="3">
        <v>95</v>
      </c>
      <c r="D32" s="4" t="s">
        <v>10</v>
      </c>
      <c r="E32" s="3" t="s">
        <v>89</v>
      </c>
    </row>
    <row r="33" spans="1:5" x14ac:dyDescent="0.35">
      <c r="A33" s="2" t="s">
        <v>84</v>
      </c>
      <c r="B33" s="2" t="s">
        <v>85</v>
      </c>
      <c r="C33" s="3">
        <v>82</v>
      </c>
      <c r="D33" s="4" t="s">
        <v>16</v>
      </c>
      <c r="E33" s="3" t="s">
        <v>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31"/>
  <sheetViews>
    <sheetView workbookViewId="0"/>
  </sheetViews>
  <sheetFormatPr defaultColWidth="9" defaultRowHeight="16.5" x14ac:dyDescent="0.35"/>
  <cols>
    <col min="1" max="16384" width="9" style="1"/>
  </cols>
  <sheetData>
    <row r="4" spans="1:16" x14ac:dyDescent="0.35">
      <c r="A4" s="6" t="s">
        <v>93</v>
      </c>
    </row>
    <row r="6" spans="1:16" x14ac:dyDescent="0.35">
      <c r="A6" s="7" t="s">
        <v>5</v>
      </c>
      <c r="B6" s="7" t="s">
        <v>94</v>
      </c>
      <c r="M6" s="8" t="str">
        <f>A7</f>
        <v>魏伟兆</v>
      </c>
      <c r="N6" s="8" t="str">
        <f>A8</f>
        <v>蔡傲</v>
      </c>
      <c r="O6" s="8" t="str">
        <f>A9</f>
        <v>郁建</v>
      </c>
      <c r="P6" s="8" t="str">
        <f>A10</f>
        <v>艾容</v>
      </c>
    </row>
    <row r="7" spans="1:16" x14ac:dyDescent="0.35">
      <c r="A7" s="7" t="s">
        <v>95</v>
      </c>
      <c r="B7" s="7">
        <v>70</v>
      </c>
      <c r="F7" s="2" t="s">
        <v>95</v>
      </c>
      <c r="G7" s="2" t="s">
        <v>96</v>
      </c>
      <c r="H7" s="2" t="s">
        <v>97</v>
      </c>
      <c r="I7" s="2" t="s">
        <v>98</v>
      </c>
      <c r="M7" s="8" t="str">
        <f>A11</f>
        <v>万卫</v>
      </c>
      <c r="N7" s="8" t="str">
        <f>A12</f>
        <v>唐凌</v>
      </c>
      <c r="O7" s="8" t="str">
        <f>A13</f>
        <v>戈扬</v>
      </c>
      <c r="P7" s="8" t="str">
        <f>A14</f>
        <v>梅蓉</v>
      </c>
    </row>
    <row r="8" spans="1:16" x14ac:dyDescent="0.35">
      <c r="A8" s="7" t="s">
        <v>96</v>
      </c>
      <c r="B8" s="7">
        <v>55</v>
      </c>
      <c r="F8" s="2" t="s">
        <v>99</v>
      </c>
      <c r="G8" s="2" t="s">
        <v>100</v>
      </c>
      <c r="H8" s="2" t="s">
        <v>101</v>
      </c>
      <c r="I8" s="2" t="s">
        <v>102</v>
      </c>
      <c r="M8" s="8" t="str">
        <f>A15</f>
        <v>柯弘义</v>
      </c>
      <c r="N8" s="8" t="str">
        <f>A16</f>
        <v>黎风</v>
      </c>
      <c r="O8" s="8" t="str">
        <f>A17</f>
        <v>冉傲玉</v>
      </c>
      <c r="P8" s="8" t="str">
        <f>A18</f>
        <v>潘渺</v>
      </c>
    </row>
    <row r="9" spans="1:16" x14ac:dyDescent="0.35">
      <c r="A9" s="7" t="s">
        <v>97</v>
      </c>
      <c r="B9" s="7">
        <v>99</v>
      </c>
      <c r="F9" s="2" t="s">
        <v>103</v>
      </c>
      <c r="G9" s="2" t="s">
        <v>104</v>
      </c>
      <c r="H9" s="2" t="s">
        <v>105</v>
      </c>
      <c r="I9" s="2" t="s">
        <v>106</v>
      </c>
      <c r="M9" s="8" t="str">
        <f>A19</f>
        <v>黄伯</v>
      </c>
      <c r="N9" s="8" t="str">
        <f>A20</f>
        <v>刘冬</v>
      </c>
      <c r="O9" s="8" t="str">
        <f>A21</f>
        <v>汪兰</v>
      </c>
      <c r="P9" s="8" t="str">
        <f>A22</f>
        <v>陶刚毅</v>
      </c>
    </row>
    <row r="10" spans="1:16" x14ac:dyDescent="0.35">
      <c r="A10" s="7" t="s">
        <v>98</v>
      </c>
      <c r="B10" s="7">
        <v>96</v>
      </c>
      <c r="F10" s="2" t="s">
        <v>107</v>
      </c>
      <c r="G10" s="2" t="s">
        <v>108</v>
      </c>
      <c r="H10" s="2" t="s">
        <v>109</v>
      </c>
      <c r="I10" s="2" t="s">
        <v>110</v>
      </c>
      <c r="M10" s="8" t="str">
        <f>A23</f>
        <v>丁珍</v>
      </c>
      <c r="N10" s="8" t="str">
        <f>A24</f>
        <v>穆雅彤</v>
      </c>
      <c r="O10" s="8" t="str">
        <f>A25</f>
        <v>伏文</v>
      </c>
      <c r="P10" s="8" t="str">
        <f>A26</f>
        <v>陆曼</v>
      </c>
    </row>
    <row r="11" spans="1:16" x14ac:dyDescent="0.35">
      <c r="A11" s="7" t="s">
        <v>99</v>
      </c>
      <c r="B11" s="7">
        <v>65</v>
      </c>
      <c r="F11" s="2" t="s">
        <v>111</v>
      </c>
      <c r="G11" s="2" t="s">
        <v>112</v>
      </c>
      <c r="H11" s="2" t="s">
        <v>113</v>
      </c>
      <c r="I11" s="2" t="s">
        <v>114</v>
      </c>
    </row>
    <row r="12" spans="1:16" x14ac:dyDescent="0.35">
      <c r="A12" s="7" t="s">
        <v>100</v>
      </c>
      <c r="B12" s="7">
        <v>74</v>
      </c>
    </row>
    <row r="13" spans="1:16" x14ac:dyDescent="0.35">
      <c r="A13" s="7" t="s">
        <v>101</v>
      </c>
      <c r="B13" s="7">
        <v>91</v>
      </c>
    </row>
    <row r="14" spans="1:16" x14ac:dyDescent="0.35">
      <c r="A14" s="7" t="s">
        <v>102</v>
      </c>
      <c r="B14" s="7">
        <v>68</v>
      </c>
      <c r="F14" s="2" t="s">
        <v>95</v>
      </c>
      <c r="G14" s="2" t="s">
        <v>99</v>
      </c>
      <c r="H14" s="2" t="s">
        <v>103</v>
      </c>
      <c r="I14" s="2" t="s">
        <v>107</v>
      </c>
      <c r="J14" s="2" t="s">
        <v>111</v>
      </c>
    </row>
    <row r="15" spans="1:16" x14ac:dyDescent="0.35">
      <c r="A15" s="7" t="s">
        <v>103</v>
      </c>
      <c r="B15" s="7">
        <v>56</v>
      </c>
      <c r="F15" s="2" t="s">
        <v>96</v>
      </c>
      <c r="G15" s="2" t="s">
        <v>100</v>
      </c>
      <c r="H15" s="2" t="s">
        <v>104</v>
      </c>
      <c r="I15" s="2" t="s">
        <v>108</v>
      </c>
      <c r="J15" s="2" t="s">
        <v>112</v>
      </c>
    </row>
    <row r="16" spans="1:16" x14ac:dyDescent="0.35">
      <c r="A16" s="7" t="s">
        <v>104</v>
      </c>
      <c r="B16" s="7">
        <v>87</v>
      </c>
      <c r="F16" s="2" t="s">
        <v>97</v>
      </c>
      <c r="G16" s="2" t="s">
        <v>101</v>
      </c>
      <c r="H16" s="2" t="s">
        <v>105</v>
      </c>
      <c r="I16" s="2" t="s">
        <v>109</v>
      </c>
      <c r="J16" s="2" t="s">
        <v>113</v>
      </c>
    </row>
    <row r="17" spans="1:10" x14ac:dyDescent="0.35">
      <c r="A17" s="7" t="s">
        <v>105</v>
      </c>
      <c r="B17" s="7">
        <v>98</v>
      </c>
      <c r="F17" s="2" t="s">
        <v>98</v>
      </c>
      <c r="G17" s="2" t="s">
        <v>102</v>
      </c>
      <c r="H17" s="2" t="s">
        <v>106</v>
      </c>
      <c r="I17" s="2" t="s">
        <v>110</v>
      </c>
      <c r="J17" s="2" t="s">
        <v>114</v>
      </c>
    </row>
    <row r="18" spans="1:10" x14ac:dyDescent="0.35">
      <c r="A18" s="7" t="s">
        <v>106</v>
      </c>
      <c r="B18" s="7">
        <v>81</v>
      </c>
    </row>
    <row r="19" spans="1:10" x14ac:dyDescent="0.35">
      <c r="A19" s="7" t="s">
        <v>107</v>
      </c>
      <c r="B19" s="7">
        <v>80</v>
      </c>
    </row>
    <row r="20" spans="1:10" x14ac:dyDescent="0.35">
      <c r="A20" s="7" t="s">
        <v>108</v>
      </c>
      <c r="B20" s="7">
        <v>71</v>
      </c>
    </row>
    <row r="21" spans="1:10" x14ac:dyDescent="0.35">
      <c r="A21" s="7" t="s">
        <v>109</v>
      </c>
      <c r="B21" s="7">
        <v>52</v>
      </c>
    </row>
    <row r="22" spans="1:10" x14ac:dyDescent="0.35">
      <c r="A22" s="7" t="s">
        <v>110</v>
      </c>
      <c r="B22" s="7">
        <v>55</v>
      </c>
    </row>
    <row r="23" spans="1:10" x14ac:dyDescent="0.35">
      <c r="A23" s="7" t="s">
        <v>111</v>
      </c>
      <c r="B23" s="7">
        <v>57</v>
      </c>
    </row>
    <row r="24" spans="1:10" x14ac:dyDescent="0.35">
      <c r="A24" s="7" t="s">
        <v>112</v>
      </c>
      <c r="B24" s="7">
        <v>60</v>
      </c>
    </row>
    <row r="25" spans="1:10" x14ac:dyDescent="0.35">
      <c r="A25" s="7" t="s">
        <v>113</v>
      </c>
      <c r="B25" s="7">
        <v>95</v>
      </c>
    </row>
    <row r="26" spans="1:10" x14ac:dyDescent="0.35">
      <c r="A26" s="7" t="s">
        <v>114</v>
      </c>
      <c r="B26" s="7">
        <v>70</v>
      </c>
    </row>
    <row r="31" spans="1:10" x14ac:dyDescent="0.35">
      <c r="A31" s="6" t="s">
        <v>115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8"/>
  <sheetViews>
    <sheetView topLeftCell="A5" workbookViewId="0">
      <selection activeCell="L20" sqref="L20"/>
    </sheetView>
  </sheetViews>
  <sheetFormatPr defaultColWidth="9" defaultRowHeight="16.5" x14ac:dyDescent="0.35"/>
  <cols>
    <col min="1" max="1" width="13.5" style="1" customWidth="1"/>
    <col min="2" max="5" width="9" style="1"/>
    <col min="6" max="6" width="12.5" style="1" bestFit="1" customWidth="1"/>
    <col min="7" max="16384" width="9" style="1"/>
  </cols>
  <sheetData>
    <row r="1" spans="1:13" x14ac:dyDescent="0.35">
      <c r="A1" s="9" t="s">
        <v>116</v>
      </c>
    </row>
    <row r="3" spans="1:13" x14ac:dyDescent="0.35">
      <c r="A3" s="1" t="s">
        <v>117</v>
      </c>
      <c r="H3" s="1" t="s">
        <v>118</v>
      </c>
    </row>
    <row r="4" spans="1:13" x14ac:dyDescent="0.35">
      <c r="A4" s="7" t="s">
        <v>119</v>
      </c>
      <c r="B4" s="7" t="s">
        <v>120</v>
      </c>
      <c r="H4" s="7" t="s">
        <v>119</v>
      </c>
      <c r="I4" s="7" t="s">
        <v>120</v>
      </c>
    </row>
    <row r="5" spans="1:13" x14ac:dyDescent="0.35">
      <c r="A5" s="7" t="s">
        <v>121</v>
      </c>
      <c r="B5" s="7"/>
      <c r="H5" s="7" t="s">
        <v>122</v>
      </c>
      <c r="I5" s="7">
        <v>79</v>
      </c>
    </row>
    <row r="6" spans="1:13" x14ac:dyDescent="0.35">
      <c r="A6" s="7" t="s">
        <v>123</v>
      </c>
      <c r="B6" s="12">
        <v>94</v>
      </c>
      <c r="H6" s="7" t="s">
        <v>123</v>
      </c>
      <c r="I6" s="12">
        <v>94</v>
      </c>
    </row>
    <row r="7" spans="1:13" x14ac:dyDescent="0.35">
      <c r="A7" s="7" t="s">
        <v>124</v>
      </c>
      <c r="B7" s="7">
        <v>89</v>
      </c>
      <c r="H7" s="7" t="s">
        <v>125</v>
      </c>
      <c r="I7" s="7">
        <v>89</v>
      </c>
    </row>
    <row r="8" spans="1:13" x14ac:dyDescent="0.35">
      <c r="A8" s="7" t="s">
        <v>126</v>
      </c>
      <c r="B8" s="12">
        <v>50</v>
      </c>
      <c r="H8" s="7" t="s">
        <v>127</v>
      </c>
      <c r="I8" s="12">
        <v>50</v>
      </c>
    </row>
    <row r="9" spans="1:13" x14ac:dyDescent="0.35">
      <c r="A9" s="7" t="s">
        <v>128</v>
      </c>
      <c r="B9" s="12">
        <v>91</v>
      </c>
      <c r="H9" s="7" t="s">
        <v>128</v>
      </c>
      <c r="I9" s="12">
        <v>91</v>
      </c>
    </row>
    <row r="10" spans="1:13" x14ac:dyDescent="0.35">
      <c r="A10" s="7" t="s">
        <v>129</v>
      </c>
      <c r="B10" s="7">
        <v>81</v>
      </c>
      <c r="H10" s="7" t="s">
        <v>129</v>
      </c>
      <c r="I10" s="7">
        <v>81</v>
      </c>
      <c r="M10" s="1" t="s">
        <v>151</v>
      </c>
    </row>
    <row r="11" spans="1:13" x14ac:dyDescent="0.35">
      <c r="A11" s="7" t="s">
        <v>130</v>
      </c>
      <c r="B11" s="12">
        <v>95</v>
      </c>
      <c r="H11" s="7" t="s">
        <v>130</v>
      </c>
      <c r="I11" s="12">
        <v>95</v>
      </c>
      <c r="M11" s="1" t="s">
        <v>152</v>
      </c>
    </row>
    <row r="12" spans="1:13" x14ac:dyDescent="0.35">
      <c r="A12" s="7" t="s">
        <v>131</v>
      </c>
      <c r="B12" s="12">
        <v>54</v>
      </c>
      <c r="H12" s="7" t="s">
        <v>131</v>
      </c>
      <c r="I12" s="12">
        <v>54</v>
      </c>
    </row>
    <row r="13" spans="1:13" x14ac:dyDescent="0.35">
      <c r="A13" s="7" t="s">
        <v>132</v>
      </c>
      <c r="B13" s="7">
        <v>81</v>
      </c>
      <c r="H13" s="7" t="s">
        <v>132</v>
      </c>
      <c r="I13" s="7">
        <v>81</v>
      </c>
    </row>
    <row r="16" spans="1:13" x14ac:dyDescent="0.35">
      <c r="L16" s="1" t="b">
        <v>0</v>
      </c>
    </row>
    <row r="18" spans="1:11" x14ac:dyDescent="0.35">
      <c r="A18" s="9" t="s">
        <v>133</v>
      </c>
    </row>
    <row r="19" spans="1:11" x14ac:dyDescent="0.35">
      <c r="A19" s="1" t="s">
        <v>134</v>
      </c>
    </row>
    <row r="20" spans="1:11" x14ac:dyDescent="0.35">
      <c r="A20" s="7" t="s">
        <v>135</v>
      </c>
      <c r="B20" s="7" t="s">
        <v>136</v>
      </c>
      <c r="C20" s="7" t="s">
        <v>137</v>
      </c>
      <c r="F20" s="7" t="s">
        <v>135</v>
      </c>
      <c r="G20" s="7" t="s">
        <v>137</v>
      </c>
    </row>
    <row r="21" spans="1:11" x14ac:dyDescent="0.35">
      <c r="A21" s="10">
        <v>42192</v>
      </c>
      <c r="B21" s="7" t="s">
        <v>138</v>
      </c>
      <c r="C21" s="7">
        <v>114</v>
      </c>
      <c r="F21" s="10" t="s">
        <v>139</v>
      </c>
      <c r="G21" s="11">
        <v>356</v>
      </c>
    </row>
    <row r="22" spans="1:11" x14ac:dyDescent="0.35">
      <c r="A22" s="10">
        <v>42192</v>
      </c>
      <c r="B22" s="7" t="s">
        <v>140</v>
      </c>
      <c r="C22" s="7">
        <v>116</v>
      </c>
      <c r="F22" s="10" t="s">
        <v>141</v>
      </c>
      <c r="G22" s="11">
        <v>478</v>
      </c>
    </row>
    <row r="23" spans="1:11" x14ac:dyDescent="0.35">
      <c r="A23" s="10">
        <v>42192</v>
      </c>
      <c r="B23" s="7" t="s">
        <v>142</v>
      </c>
      <c r="C23" s="7">
        <v>126</v>
      </c>
      <c r="F23" s="10" t="s">
        <v>143</v>
      </c>
      <c r="G23" s="11">
        <v>701</v>
      </c>
    </row>
    <row r="24" spans="1:11" x14ac:dyDescent="0.35">
      <c r="A24" s="10" t="s">
        <v>139</v>
      </c>
      <c r="B24" s="7"/>
      <c r="C24" s="11">
        <v>356</v>
      </c>
      <c r="F24" s="7" t="s">
        <v>144</v>
      </c>
      <c r="G24" s="11">
        <v>1535</v>
      </c>
      <c r="K24" s="1" t="s">
        <v>153</v>
      </c>
    </row>
    <row r="25" spans="1:11" x14ac:dyDescent="0.35">
      <c r="A25" s="10">
        <v>42193</v>
      </c>
      <c r="B25" s="7" t="s">
        <v>138</v>
      </c>
      <c r="C25" s="7">
        <v>176</v>
      </c>
    </row>
    <row r="26" spans="1:11" x14ac:dyDescent="0.35">
      <c r="A26" s="10">
        <v>42193</v>
      </c>
      <c r="B26" s="7" t="s">
        <v>145</v>
      </c>
      <c r="C26" s="7">
        <v>66</v>
      </c>
    </row>
    <row r="27" spans="1:11" x14ac:dyDescent="0.35">
      <c r="A27" s="10">
        <v>42193</v>
      </c>
      <c r="B27" s="7" t="s">
        <v>146</v>
      </c>
      <c r="C27" s="7">
        <v>67</v>
      </c>
    </row>
    <row r="28" spans="1:11" x14ac:dyDescent="0.35">
      <c r="A28" s="10">
        <v>42193</v>
      </c>
      <c r="B28" s="7" t="s">
        <v>147</v>
      </c>
      <c r="C28" s="7">
        <v>96</v>
      </c>
    </row>
    <row r="29" spans="1:11" x14ac:dyDescent="0.35">
      <c r="A29" s="10">
        <v>42193</v>
      </c>
      <c r="B29" s="7" t="s">
        <v>148</v>
      </c>
      <c r="C29" s="7">
        <v>73</v>
      </c>
    </row>
    <row r="30" spans="1:11" x14ac:dyDescent="0.35">
      <c r="A30" s="10" t="s">
        <v>141</v>
      </c>
      <c r="B30" s="7"/>
      <c r="C30" s="11">
        <v>478</v>
      </c>
    </row>
    <row r="31" spans="1:11" x14ac:dyDescent="0.35">
      <c r="A31" s="10">
        <v>42194</v>
      </c>
      <c r="B31" s="7" t="s">
        <v>145</v>
      </c>
      <c r="C31" s="7">
        <v>77</v>
      </c>
    </row>
    <row r="32" spans="1:11" x14ac:dyDescent="0.35">
      <c r="A32" s="10">
        <v>42194</v>
      </c>
      <c r="B32" s="7" t="s">
        <v>140</v>
      </c>
      <c r="C32" s="7">
        <v>141</v>
      </c>
    </row>
    <row r="33" spans="1:3" x14ac:dyDescent="0.35">
      <c r="A33" s="10">
        <v>42194</v>
      </c>
      <c r="B33" s="7" t="s">
        <v>142</v>
      </c>
      <c r="C33" s="7">
        <v>83</v>
      </c>
    </row>
    <row r="34" spans="1:3" x14ac:dyDescent="0.35">
      <c r="A34" s="10">
        <v>42194</v>
      </c>
      <c r="B34" s="7" t="s">
        <v>147</v>
      </c>
      <c r="C34" s="7">
        <v>162</v>
      </c>
    </row>
    <row r="35" spans="1:3" x14ac:dyDescent="0.35">
      <c r="A35" s="10">
        <v>42194</v>
      </c>
      <c r="B35" s="7" t="s">
        <v>149</v>
      </c>
      <c r="C35" s="7">
        <v>118</v>
      </c>
    </row>
    <row r="36" spans="1:3" x14ac:dyDescent="0.35">
      <c r="A36" s="10">
        <v>42194</v>
      </c>
      <c r="B36" s="7" t="s">
        <v>146</v>
      </c>
      <c r="C36" s="7">
        <v>120</v>
      </c>
    </row>
    <row r="37" spans="1:3" x14ac:dyDescent="0.35">
      <c r="A37" s="10" t="s">
        <v>150</v>
      </c>
      <c r="B37" s="7"/>
      <c r="C37" s="11">
        <v>701</v>
      </c>
    </row>
    <row r="38" spans="1:3" x14ac:dyDescent="0.35">
      <c r="A38" s="7" t="s">
        <v>144</v>
      </c>
      <c r="B38" s="7"/>
      <c r="C38" s="11">
        <v>1535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sqref="A1:XFD1048576"/>
    </sheetView>
  </sheetViews>
  <sheetFormatPr defaultColWidth="9" defaultRowHeight="16.5" x14ac:dyDescent="0.35"/>
  <cols>
    <col min="1" max="1" width="11.875" style="1" customWidth="1"/>
    <col min="2" max="5" width="9" style="1"/>
    <col min="6" max="6" width="12.5" style="1" bestFit="1" customWidth="1"/>
    <col min="7" max="16384" width="9" style="1"/>
  </cols>
  <sheetData>
    <row r="1" spans="1:7" x14ac:dyDescent="0.35">
      <c r="A1" s="6" t="s">
        <v>154</v>
      </c>
    </row>
    <row r="2" spans="1:7" x14ac:dyDescent="0.35">
      <c r="A2" s="13" t="s">
        <v>155</v>
      </c>
    </row>
    <row r="3" spans="1:7" x14ac:dyDescent="0.35">
      <c r="A3" s="13" t="s">
        <v>156</v>
      </c>
    </row>
    <row r="4" spans="1:7" x14ac:dyDescent="0.35">
      <c r="A4" s="13" t="s">
        <v>157</v>
      </c>
    </row>
    <row r="5" spans="1:7" x14ac:dyDescent="0.35">
      <c r="A5" s="13" t="s">
        <v>158</v>
      </c>
    </row>
    <row r="9" spans="1:7" x14ac:dyDescent="0.35">
      <c r="A9" s="1" t="s">
        <v>159</v>
      </c>
    </row>
    <row r="11" spans="1:7" x14ac:dyDescent="0.35">
      <c r="A11" s="7" t="s">
        <v>135</v>
      </c>
      <c r="B11" s="7" t="s">
        <v>136</v>
      </c>
      <c r="C11" s="7" t="s">
        <v>137</v>
      </c>
      <c r="F11" s="7" t="s">
        <v>135</v>
      </c>
      <c r="G11" s="7" t="s">
        <v>137</v>
      </c>
    </row>
    <row r="12" spans="1:7" x14ac:dyDescent="0.35">
      <c r="A12" s="10">
        <v>42192</v>
      </c>
      <c r="B12" s="7" t="s">
        <v>138</v>
      </c>
      <c r="C12" s="7">
        <v>114</v>
      </c>
      <c r="F12" s="7" t="s">
        <v>139</v>
      </c>
      <c r="G12" s="7">
        <v>356</v>
      </c>
    </row>
    <row r="13" spans="1:7" x14ac:dyDescent="0.35">
      <c r="A13" s="10">
        <v>42192</v>
      </c>
      <c r="B13" s="7" t="s">
        <v>140</v>
      </c>
      <c r="C13" s="7">
        <v>116</v>
      </c>
      <c r="F13" s="7" t="s">
        <v>141</v>
      </c>
      <c r="G13" s="7">
        <v>478</v>
      </c>
    </row>
    <row r="14" spans="1:7" x14ac:dyDescent="0.35">
      <c r="A14" s="10">
        <v>42192</v>
      </c>
      <c r="B14" s="7" t="s">
        <v>142</v>
      </c>
      <c r="C14" s="7">
        <v>126</v>
      </c>
      <c r="F14" s="7" t="s">
        <v>160</v>
      </c>
      <c r="G14" s="7">
        <v>701</v>
      </c>
    </row>
    <row r="15" spans="1:7" x14ac:dyDescent="0.35">
      <c r="A15" s="10" t="s">
        <v>139</v>
      </c>
      <c r="B15" s="7"/>
      <c r="C15" s="14">
        <f>SUM(C12:C14)</f>
        <v>356</v>
      </c>
      <c r="F15" s="7" t="s">
        <v>144</v>
      </c>
      <c r="G15" s="7">
        <v>1535</v>
      </c>
    </row>
    <row r="16" spans="1:7" x14ac:dyDescent="0.35">
      <c r="A16" s="10">
        <v>42193</v>
      </c>
      <c r="B16" s="7" t="s">
        <v>138</v>
      </c>
      <c r="C16" s="7">
        <v>176</v>
      </c>
    </row>
    <row r="17" spans="1:3" x14ac:dyDescent="0.35">
      <c r="A17" s="10">
        <v>42193</v>
      </c>
      <c r="B17" s="7" t="s">
        <v>145</v>
      </c>
      <c r="C17" s="7">
        <v>66</v>
      </c>
    </row>
    <row r="18" spans="1:3" x14ac:dyDescent="0.35">
      <c r="A18" s="10">
        <v>42193</v>
      </c>
      <c r="B18" s="7" t="s">
        <v>146</v>
      </c>
      <c r="C18" s="7">
        <v>67</v>
      </c>
    </row>
    <row r="19" spans="1:3" x14ac:dyDescent="0.35">
      <c r="A19" s="10">
        <v>42193</v>
      </c>
      <c r="B19" s="7" t="s">
        <v>147</v>
      </c>
      <c r="C19" s="7">
        <v>96</v>
      </c>
    </row>
    <row r="20" spans="1:3" x14ac:dyDescent="0.35">
      <c r="A20" s="10">
        <v>42193</v>
      </c>
      <c r="B20" s="7" t="s">
        <v>148</v>
      </c>
      <c r="C20" s="7">
        <v>73</v>
      </c>
    </row>
    <row r="21" spans="1:3" x14ac:dyDescent="0.35">
      <c r="A21" s="10" t="s">
        <v>141</v>
      </c>
      <c r="B21" s="7"/>
      <c r="C21" s="14">
        <f>SUM(C16:C20)</f>
        <v>478</v>
      </c>
    </row>
    <row r="22" spans="1:3" x14ac:dyDescent="0.35">
      <c r="A22" s="10">
        <v>42194</v>
      </c>
      <c r="B22" s="7" t="s">
        <v>145</v>
      </c>
      <c r="C22" s="7">
        <v>77</v>
      </c>
    </row>
    <row r="23" spans="1:3" x14ac:dyDescent="0.35">
      <c r="A23" s="10">
        <v>42194</v>
      </c>
      <c r="B23" s="7" t="s">
        <v>140</v>
      </c>
      <c r="C23" s="7">
        <v>141</v>
      </c>
    </row>
    <row r="24" spans="1:3" x14ac:dyDescent="0.35">
      <c r="A24" s="10">
        <v>42194</v>
      </c>
      <c r="B24" s="7" t="s">
        <v>142</v>
      </c>
      <c r="C24" s="7">
        <v>83</v>
      </c>
    </row>
    <row r="25" spans="1:3" x14ac:dyDescent="0.35">
      <c r="A25" s="10">
        <v>42194</v>
      </c>
      <c r="B25" s="7" t="s">
        <v>147</v>
      </c>
      <c r="C25" s="7">
        <v>162</v>
      </c>
    </row>
    <row r="26" spans="1:3" x14ac:dyDescent="0.35">
      <c r="A26" s="10">
        <v>42194</v>
      </c>
      <c r="B26" s="7" t="s">
        <v>149</v>
      </c>
      <c r="C26" s="7">
        <v>118</v>
      </c>
    </row>
    <row r="27" spans="1:3" x14ac:dyDescent="0.35">
      <c r="A27" s="10">
        <v>42194</v>
      </c>
      <c r="B27" s="7" t="s">
        <v>146</v>
      </c>
      <c r="C27" s="7">
        <v>120</v>
      </c>
    </row>
    <row r="28" spans="1:3" x14ac:dyDescent="0.35">
      <c r="A28" s="10" t="s">
        <v>161</v>
      </c>
      <c r="B28" s="7"/>
      <c r="C28" s="14">
        <f>SUM(C22:C27)</f>
        <v>701</v>
      </c>
    </row>
    <row r="29" spans="1:3" x14ac:dyDescent="0.35">
      <c r="A29" s="7" t="s">
        <v>144</v>
      </c>
      <c r="B29" s="7"/>
      <c r="C29" s="14">
        <f>SUM(C12:C28)/2</f>
        <v>1535</v>
      </c>
    </row>
    <row r="33" spans="1:7" x14ac:dyDescent="0.35">
      <c r="A33" s="6" t="s">
        <v>162</v>
      </c>
    </row>
    <row r="34" spans="1:7" x14ac:dyDescent="0.35">
      <c r="A34" s="1" t="s">
        <v>163</v>
      </c>
    </row>
    <row r="35" spans="1:7" x14ac:dyDescent="0.35">
      <c r="A35" s="7" t="s">
        <v>135</v>
      </c>
      <c r="B35" s="7" t="s">
        <v>136</v>
      </c>
      <c r="C35" s="7" t="s">
        <v>137</v>
      </c>
      <c r="E35" s="7" t="s">
        <v>135</v>
      </c>
      <c r="F35" s="7" t="s">
        <v>136</v>
      </c>
      <c r="G35" s="7" t="s">
        <v>137</v>
      </c>
    </row>
    <row r="36" spans="1:7" x14ac:dyDescent="0.35">
      <c r="A36" s="10">
        <v>42192</v>
      </c>
      <c r="B36" s="7" t="s">
        <v>138</v>
      </c>
      <c r="C36" s="7">
        <v>114</v>
      </c>
      <c r="E36" s="10">
        <v>42192</v>
      </c>
      <c r="F36" s="7" t="s">
        <v>138</v>
      </c>
      <c r="G36" s="7">
        <v>114</v>
      </c>
    </row>
    <row r="37" spans="1:7" x14ac:dyDescent="0.35">
      <c r="A37" s="10">
        <v>42192</v>
      </c>
      <c r="B37" s="7" t="s">
        <v>140</v>
      </c>
      <c r="C37" s="7">
        <v>116</v>
      </c>
      <c r="E37" s="10">
        <v>42192</v>
      </c>
      <c r="F37" s="7" t="s">
        <v>140</v>
      </c>
      <c r="G37" s="7">
        <v>116</v>
      </c>
    </row>
    <row r="38" spans="1:7" x14ac:dyDescent="0.35">
      <c r="A38" s="10">
        <v>42192</v>
      </c>
      <c r="B38" s="7" t="s">
        <v>142</v>
      </c>
      <c r="C38" s="7">
        <v>126</v>
      </c>
      <c r="E38" s="10">
        <v>42192</v>
      </c>
      <c r="F38" s="7" t="s">
        <v>142</v>
      </c>
      <c r="G38" s="7">
        <v>126</v>
      </c>
    </row>
    <row r="39" spans="1:7" x14ac:dyDescent="0.35">
      <c r="A39" s="10" t="s">
        <v>139</v>
      </c>
      <c r="B39" s="7"/>
      <c r="C39" s="14">
        <f>SUM(C36:C38)</f>
        <v>356</v>
      </c>
      <c r="E39" s="10">
        <v>42193</v>
      </c>
      <c r="F39" s="7" t="s">
        <v>138</v>
      </c>
      <c r="G39" s="7">
        <v>176</v>
      </c>
    </row>
    <row r="40" spans="1:7" x14ac:dyDescent="0.35">
      <c r="A40" s="10">
        <v>42193</v>
      </c>
      <c r="B40" s="7" t="s">
        <v>138</v>
      </c>
      <c r="C40" s="7">
        <v>176</v>
      </c>
      <c r="E40" s="10">
        <v>42193</v>
      </c>
      <c r="F40" s="7" t="s">
        <v>145</v>
      </c>
      <c r="G40" s="7">
        <v>66</v>
      </c>
    </row>
    <row r="41" spans="1:7" x14ac:dyDescent="0.35">
      <c r="A41" s="10">
        <v>42193</v>
      </c>
      <c r="B41" s="7" t="s">
        <v>145</v>
      </c>
      <c r="C41" s="7">
        <v>66</v>
      </c>
      <c r="E41" s="10">
        <v>42193</v>
      </c>
      <c r="F41" s="7" t="s">
        <v>146</v>
      </c>
      <c r="G41" s="7">
        <v>67</v>
      </c>
    </row>
    <row r="42" spans="1:7" x14ac:dyDescent="0.35">
      <c r="A42" s="10">
        <v>42193</v>
      </c>
      <c r="B42" s="7" t="s">
        <v>146</v>
      </c>
      <c r="C42" s="7">
        <v>67</v>
      </c>
      <c r="E42" s="10">
        <v>42193</v>
      </c>
      <c r="F42" s="7" t="s">
        <v>147</v>
      </c>
      <c r="G42" s="7">
        <v>96</v>
      </c>
    </row>
    <row r="43" spans="1:7" x14ac:dyDescent="0.35">
      <c r="A43" s="10">
        <v>42193</v>
      </c>
      <c r="B43" s="7" t="s">
        <v>147</v>
      </c>
      <c r="C43" s="7">
        <v>96</v>
      </c>
      <c r="E43" s="10">
        <v>42193</v>
      </c>
      <c r="F43" s="7" t="s">
        <v>148</v>
      </c>
      <c r="G43" s="7">
        <v>73</v>
      </c>
    </row>
    <row r="44" spans="1:7" x14ac:dyDescent="0.35">
      <c r="A44" s="10">
        <v>42193</v>
      </c>
      <c r="B44" s="7" t="s">
        <v>148</v>
      </c>
      <c r="C44" s="7">
        <v>73</v>
      </c>
      <c r="E44" s="10">
        <v>42194</v>
      </c>
      <c r="F44" s="7" t="s">
        <v>145</v>
      </c>
      <c r="G44" s="7">
        <v>77</v>
      </c>
    </row>
    <row r="45" spans="1:7" x14ac:dyDescent="0.35">
      <c r="A45" s="10" t="s">
        <v>141</v>
      </c>
      <c r="B45" s="7"/>
      <c r="C45" s="14">
        <f>SUM(C40:C44)</f>
        <v>478</v>
      </c>
      <c r="E45" s="10">
        <v>42194</v>
      </c>
      <c r="F45" s="7" t="s">
        <v>140</v>
      </c>
      <c r="G45" s="7">
        <v>141</v>
      </c>
    </row>
    <row r="46" spans="1:7" x14ac:dyDescent="0.35">
      <c r="A46" s="10">
        <v>42194</v>
      </c>
      <c r="B46" s="7" t="s">
        <v>145</v>
      </c>
      <c r="C46" s="7">
        <v>77</v>
      </c>
      <c r="E46" s="10">
        <v>42194</v>
      </c>
      <c r="F46" s="7" t="s">
        <v>142</v>
      </c>
      <c r="G46" s="7">
        <v>83</v>
      </c>
    </row>
    <row r="47" spans="1:7" x14ac:dyDescent="0.35">
      <c r="A47" s="10">
        <v>42194</v>
      </c>
      <c r="B47" s="7" t="s">
        <v>140</v>
      </c>
      <c r="C47" s="7">
        <v>141</v>
      </c>
      <c r="E47" s="10">
        <v>42194</v>
      </c>
      <c r="F47" s="7" t="s">
        <v>147</v>
      </c>
      <c r="G47" s="7">
        <v>162</v>
      </c>
    </row>
    <row r="48" spans="1:7" x14ac:dyDescent="0.35">
      <c r="A48" s="10">
        <v>42194</v>
      </c>
      <c r="B48" s="7" t="s">
        <v>142</v>
      </c>
      <c r="C48" s="7">
        <v>83</v>
      </c>
      <c r="E48" s="10">
        <v>42194</v>
      </c>
      <c r="F48" s="7" t="s">
        <v>149</v>
      </c>
      <c r="G48" s="7">
        <v>118</v>
      </c>
    </row>
    <row r="49" spans="1:7" x14ac:dyDescent="0.35">
      <c r="A49" s="10">
        <v>42194</v>
      </c>
      <c r="B49" s="7" t="s">
        <v>147</v>
      </c>
      <c r="C49" s="7">
        <v>162</v>
      </c>
      <c r="E49" s="10">
        <v>42194</v>
      </c>
      <c r="F49" s="7" t="s">
        <v>146</v>
      </c>
      <c r="G49" s="7">
        <v>120</v>
      </c>
    </row>
    <row r="50" spans="1:7" x14ac:dyDescent="0.35">
      <c r="A50" s="10">
        <v>42194</v>
      </c>
      <c r="B50" s="7" t="s">
        <v>149</v>
      </c>
      <c r="C50" s="7">
        <v>118</v>
      </c>
    </row>
    <row r="51" spans="1:7" x14ac:dyDescent="0.35">
      <c r="A51" s="10">
        <v>42194</v>
      </c>
      <c r="B51" s="7" t="s">
        <v>146</v>
      </c>
      <c r="C51" s="7">
        <v>120</v>
      </c>
    </row>
    <row r="52" spans="1:7" x14ac:dyDescent="0.35">
      <c r="A52" s="10" t="s">
        <v>143</v>
      </c>
      <c r="B52" s="7"/>
      <c r="C52" s="14">
        <f>SUM(C46:C51)</f>
        <v>701</v>
      </c>
    </row>
    <row r="53" spans="1:7" x14ac:dyDescent="0.35">
      <c r="A53" s="7" t="s">
        <v>144</v>
      </c>
      <c r="B53" s="7"/>
      <c r="C53" s="14">
        <f>SUM(C36:C52)/2</f>
        <v>1535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2017-04-11T13:30:42Z</dcterms:modified>
</cp:coreProperties>
</file>