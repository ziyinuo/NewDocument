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2490" yWindow="105" windowWidth="14805" windowHeight="8010" activeTab="7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</sheets>
  <calcPr calcId="152511"/>
</workbook>
</file>

<file path=xl/calcChain.xml><?xml version="1.0" encoding="utf-8"?>
<calcChain xmlns="http://schemas.openxmlformats.org/spreadsheetml/2006/main">
  <c r="J11" i="9" l="1"/>
  <c r="D11" i="8" l="1"/>
  <c r="D10" i="8"/>
  <c r="D9" i="8"/>
  <c r="D8" i="8"/>
  <c r="D7" i="8"/>
  <c r="D6" i="8"/>
  <c r="D5" i="8"/>
  <c r="D4" i="8"/>
  <c r="D3" i="8"/>
  <c r="D2" i="8"/>
  <c r="B20" i="7" l="1"/>
  <c r="B19" i="7"/>
  <c r="B18" i="7"/>
  <c r="B17" i="7"/>
  <c r="B16" i="7"/>
  <c r="O15" i="7"/>
  <c r="O14" i="7"/>
  <c r="O13" i="7"/>
  <c r="O12" i="7"/>
  <c r="O11" i="7"/>
  <c r="O10" i="7"/>
  <c r="M7" i="6" l="1"/>
  <c r="K7" i="6"/>
  <c r="C17" i="6"/>
  <c r="C16" i="6"/>
  <c r="C15" i="6"/>
  <c r="C14" i="6"/>
  <c r="C13" i="6"/>
  <c r="C12" i="6"/>
  <c r="C11" i="6"/>
  <c r="O5" i="1" l="1"/>
</calcChain>
</file>

<file path=xl/comments1.xml><?xml version="1.0" encoding="utf-8"?>
<comments xmlns="http://schemas.openxmlformats.org/spreadsheetml/2006/main">
  <authors>
    <author>作者</author>
  </authors>
  <commentList>
    <comment ref="J1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99</t>
        </r>
      </text>
    </comment>
  </commentList>
</comments>
</file>

<file path=xl/sharedStrings.xml><?xml version="1.0" encoding="utf-8"?>
<sst xmlns="http://schemas.openxmlformats.org/spreadsheetml/2006/main" count="306" uniqueCount="224">
  <si>
    <t>基础表（清单）</t>
    <phoneticPr fontId="3" type="noConversion"/>
  </si>
  <si>
    <t>基础表的获取方法</t>
    <phoneticPr fontId="3" type="noConversion"/>
  </si>
  <si>
    <t>手工录入</t>
    <phoneticPr fontId="3" type="noConversion"/>
  </si>
  <si>
    <t>扫描</t>
    <phoneticPr fontId="3" type="noConversion"/>
  </si>
  <si>
    <t>系统导出</t>
    <phoneticPr fontId="3" type="noConversion"/>
  </si>
  <si>
    <t>基础表设计注意事项</t>
    <phoneticPr fontId="3" type="noConversion"/>
  </si>
  <si>
    <t>标题无重复（非数字）</t>
    <phoneticPr fontId="3" type="noConversion"/>
  </si>
  <si>
    <t>标题和表记录均不能合并单元格</t>
    <phoneticPr fontId="3" type="noConversion"/>
  </si>
  <si>
    <t>记录不能有空行和小计等数据处理</t>
    <phoneticPr fontId="3" type="noConversion"/>
  </si>
  <si>
    <t>字段（列）数据类型要相同（比如日期,数字等）</t>
    <phoneticPr fontId="3" type="noConversion"/>
  </si>
  <si>
    <t>不要以交叉表的形式来存储数据</t>
    <phoneticPr fontId="3" type="noConversion"/>
  </si>
  <si>
    <t>一切以方便后续数据处理做准备</t>
    <phoneticPr fontId="3" type="noConversion"/>
  </si>
  <si>
    <t>处理表（分析）</t>
    <phoneticPr fontId="3" type="noConversion"/>
  </si>
  <si>
    <t>输出表（报表）</t>
    <phoneticPr fontId="3" type="noConversion"/>
  </si>
  <si>
    <t>扫描码之类的</t>
    <phoneticPr fontId="3" type="noConversion"/>
  </si>
  <si>
    <t>数据获得后都需要处理</t>
    <phoneticPr fontId="3" type="noConversion"/>
  </si>
  <si>
    <t>编号</t>
    <phoneticPr fontId="3" type="noConversion"/>
  </si>
  <si>
    <t>产品</t>
    <phoneticPr fontId="3" type="noConversion"/>
  </si>
  <si>
    <t>出厂日期</t>
    <phoneticPr fontId="3" type="noConversion"/>
  </si>
  <si>
    <t>入库日期</t>
    <phoneticPr fontId="3" type="noConversion"/>
  </si>
  <si>
    <t>库存</t>
    <phoneticPr fontId="3" type="noConversion"/>
  </si>
  <si>
    <t>1</t>
    <phoneticPr fontId="3" type="noConversion"/>
  </si>
  <si>
    <t>姓名</t>
    <phoneticPr fontId="3" type="noConversion"/>
  </si>
  <si>
    <t>第1季度</t>
    <phoneticPr fontId="3" type="noConversion"/>
  </si>
  <si>
    <t>第2季度</t>
    <phoneticPr fontId="3" type="noConversion"/>
  </si>
  <si>
    <t>季度</t>
    <phoneticPr fontId="3" type="noConversion"/>
  </si>
  <si>
    <t>业绩</t>
    <phoneticPr fontId="3" type="noConversion"/>
  </si>
  <si>
    <t>张三</t>
    <phoneticPr fontId="3" type="noConversion"/>
  </si>
  <si>
    <t>李四</t>
    <phoneticPr fontId="3" type="noConversion"/>
  </si>
  <si>
    <t>第2季度</t>
    <phoneticPr fontId="3" type="noConversion"/>
  </si>
  <si>
    <t>第1季度</t>
    <phoneticPr fontId="3" type="noConversion"/>
  </si>
  <si>
    <t>李四</t>
    <phoneticPr fontId="3" type="noConversion"/>
  </si>
  <si>
    <t>格式规范</t>
    <phoneticPr fontId="3" type="noConversion"/>
  </si>
  <si>
    <t>注意文本类型</t>
    <phoneticPr fontId="3" type="noConversion"/>
  </si>
  <si>
    <t>1.单元格预置样式</t>
    <phoneticPr fontId="3" type="noConversion"/>
  </si>
  <si>
    <t>2.样式管理</t>
    <phoneticPr fontId="3" type="noConversion"/>
  </si>
  <si>
    <t>新建</t>
    <phoneticPr fontId="3" type="noConversion"/>
  </si>
  <si>
    <t>应用</t>
    <phoneticPr fontId="3" type="noConversion"/>
  </si>
  <si>
    <t>复制</t>
    <phoneticPr fontId="3" type="noConversion"/>
  </si>
  <si>
    <t>修改</t>
    <phoneticPr fontId="3" type="noConversion"/>
  </si>
  <si>
    <t>删除</t>
    <phoneticPr fontId="3" type="noConversion"/>
  </si>
  <si>
    <t>品牌</t>
  </si>
  <si>
    <t>厂商</t>
  </si>
  <si>
    <t>型号</t>
  </si>
  <si>
    <t>参考价格</t>
  </si>
  <si>
    <t>增涨率</t>
    <phoneticPr fontId="3" type="noConversion"/>
  </si>
  <si>
    <t>学号</t>
    <phoneticPr fontId="3" type="noConversion"/>
  </si>
  <si>
    <t>姓名</t>
    <phoneticPr fontId="3" type="noConversion"/>
  </si>
  <si>
    <t>成绩</t>
    <phoneticPr fontId="3" type="noConversion"/>
  </si>
  <si>
    <t>HP</t>
  </si>
  <si>
    <t>惠普</t>
  </si>
  <si>
    <t>Mini1000</t>
  </si>
  <si>
    <t>NED001</t>
    <phoneticPr fontId="3" type="noConversion"/>
  </si>
  <si>
    <t>张三</t>
    <phoneticPr fontId="3" type="noConversion"/>
  </si>
  <si>
    <t>DELL</t>
  </si>
  <si>
    <t>戴尔</t>
  </si>
  <si>
    <t>Mini10</t>
  </si>
  <si>
    <t>NED002</t>
  </si>
  <si>
    <t>李四</t>
    <phoneticPr fontId="3" type="noConversion"/>
  </si>
  <si>
    <t>Haier</t>
  </si>
  <si>
    <t>海尔</t>
  </si>
  <si>
    <t>海尔X105</t>
  </si>
  <si>
    <t>NED003</t>
  </si>
  <si>
    <t>王五</t>
    <phoneticPr fontId="3" type="noConversion"/>
  </si>
  <si>
    <t>Lenovo</t>
  </si>
  <si>
    <t>联想</t>
  </si>
  <si>
    <t>昭阳M10W</t>
  </si>
  <si>
    <t>NED004</t>
  </si>
  <si>
    <t>周立山</t>
    <phoneticPr fontId="3" type="noConversion"/>
  </si>
  <si>
    <t>Tongfang PC</t>
  </si>
  <si>
    <t>清华同方</t>
  </si>
  <si>
    <t>IminiS5</t>
  </si>
  <si>
    <t>www.baidu.com</t>
    <phoneticPr fontId="3" type="noConversion"/>
  </si>
  <si>
    <t>百度</t>
    <phoneticPr fontId="3" type="noConversion"/>
  </si>
  <si>
    <t>1.套用表格格式</t>
    <phoneticPr fontId="3" type="noConversion"/>
  </si>
  <si>
    <t>预置表格样式</t>
    <phoneticPr fontId="3" type="noConversion"/>
  </si>
  <si>
    <t>2.表格样式管理</t>
    <phoneticPr fontId="3" type="noConversion"/>
  </si>
  <si>
    <t>表格样式的应用</t>
    <phoneticPr fontId="3" type="noConversion"/>
  </si>
  <si>
    <t>复制</t>
    <phoneticPr fontId="3" type="noConversion"/>
  </si>
  <si>
    <t>删除</t>
    <phoneticPr fontId="3" type="noConversion"/>
  </si>
  <si>
    <t>默认设置</t>
    <phoneticPr fontId="3" type="noConversion"/>
  </si>
  <si>
    <t>新建</t>
    <phoneticPr fontId="3" type="noConversion"/>
  </si>
  <si>
    <t>编号</t>
    <phoneticPr fontId="3" type="noConversion"/>
  </si>
  <si>
    <t>姓名</t>
    <phoneticPr fontId="3" type="noConversion"/>
  </si>
  <si>
    <t>分数</t>
    <phoneticPr fontId="3" type="noConversion"/>
  </si>
  <si>
    <t>编号</t>
    <phoneticPr fontId="3" type="noConversion"/>
  </si>
  <si>
    <t>姓名</t>
    <phoneticPr fontId="3" type="noConversion"/>
  </si>
  <si>
    <t>分数</t>
    <phoneticPr fontId="3" type="noConversion"/>
  </si>
  <si>
    <t>NED001</t>
    <phoneticPr fontId="3" type="noConversion"/>
  </si>
  <si>
    <t>张三</t>
    <phoneticPr fontId="3" type="noConversion"/>
  </si>
  <si>
    <t>NED001</t>
    <phoneticPr fontId="3" type="noConversion"/>
  </si>
  <si>
    <t>李四</t>
    <phoneticPr fontId="3" type="noConversion"/>
  </si>
  <si>
    <t>王五</t>
    <phoneticPr fontId="3" type="noConversion"/>
  </si>
  <si>
    <t>周六</t>
    <phoneticPr fontId="3" type="noConversion"/>
  </si>
  <si>
    <t>周六</t>
    <phoneticPr fontId="3" type="noConversion"/>
  </si>
  <si>
    <t>编号</t>
  </si>
  <si>
    <t>姓名</t>
  </si>
  <si>
    <t>分数</t>
  </si>
  <si>
    <t>NED001</t>
  </si>
  <si>
    <t>张三</t>
  </si>
  <si>
    <t>李四</t>
  </si>
  <si>
    <t>王五</t>
  </si>
  <si>
    <t>周六</t>
  </si>
  <si>
    <t>清除格式保留格式</t>
    <phoneticPr fontId="3" type="noConversion"/>
  </si>
  <si>
    <t>第一行</t>
    <phoneticPr fontId="3" type="noConversion"/>
  </si>
  <si>
    <t>第二行</t>
    <phoneticPr fontId="3" type="noConversion"/>
  </si>
  <si>
    <t>奇数行</t>
    <phoneticPr fontId="3" type="noConversion"/>
  </si>
  <si>
    <t>偶数行</t>
    <phoneticPr fontId="3" type="noConversion"/>
  </si>
  <si>
    <t>编号</t>
    <phoneticPr fontId="3" type="noConversion"/>
  </si>
  <si>
    <t>1.EXCEL公式</t>
    <phoneticPr fontId="3" type="noConversion"/>
  </si>
  <si>
    <t>以等号开始，配合各种运算符或函数。进行运算。最后能返回一个或一组值。</t>
    <phoneticPr fontId="3" type="noConversion"/>
  </si>
  <si>
    <t>2.运算符的分类</t>
    <phoneticPr fontId="3" type="noConversion"/>
  </si>
  <si>
    <t>数学运算符</t>
    <phoneticPr fontId="3" type="noConversion"/>
  </si>
  <si>
    <t>比较运算符</t>
    <phoneticPr fontId="3" type="noConversion"/>
  </si>
  <si>
    <t>连接运算符</t>
    <phoneticPr fontId="3" type="noConversion"/>
  </si>
  <si>
    <t>3.实例应用（求大于等于90分，奖励100元）</t>
    <phoneticPr fontId="3" type="noConversion"/>
  </si>
  <si>
    <t>姓名</t>
    <phoneticPr fontId="3" type="noConversion"/>
  </si>
  <si>
    <t>分数</t>
    <phoneticPr fontId="3" type="noConversion"/>
  </si>
  <si>
    <t>张三</t>
    <phoneticPr fontId="3" type="noConversion"/>
  </si>
  <si>
    <t>李四</t>
    <phoneticPr fontId="3" type="noConversion"/>
  </si>
  <si>
    <t>王五</t>
    <phoneticPr fontId="3" type="noConversion"/>
  </si>
  <si>
    <t>陈冲</t>
    <phoneticPr fontId="3" type="noConversion"/>
  </si>
  <si>
    <t>黄峰</t>
    <phoneticPr fontId="3" type="noConversion"/>
  </si>
  <si>
    <t>刘新</t>
    <phoneticPr fontId="3" type="noConversion"/>
  </si>
  <si>
    <t>罗永良</t>
    <phoneticPr fontId="3" type="noConversion"/>
  </si>
  <si>
    <t>+-*/</t>
    <phoneticPr fontId="3" type="noConversion"/>
  </si>
  <si>
    <t>&gt;、&gt;=、&lt;、&lt;=、&lt;&gt;、=</t>
    <phoneticPr fontId="3" type="noConversion"/>
  </si>
  <si>
    <t>&amp;</t>
    <phoneticPr fontId="3" type="noConversion"/>
  </si>
  <si>
    <t>注意优先级</t>
    <phoneticPr fontId="3" type="noConversion"/>
  </si>
  <si>
    <t>1.常用函数应用讲解</t>
    <phoneticPr fontId="3" type="noConversion"/>
  </si>
  <si>
    <t>求和(sum)</t>
    <phoneticPr fontId="3" type="noConversion"/>
  </si>
  <si>
    <t>最大值(max)</t>
    <phoneticPr fontId="3" type="noConversion"/>
  </si>
  <si>
    <t>最小值(min)</t>
    <phoneticPr fontId="3" type="noConversion"/>
  </si>
  <si>
    <t>平均值(average)</t>
    <phoneticPr fontId="3" type="noConversion"/>
  </si>
  <si>
    <t>计数(count)</t>
    <phoneticPr fontId="3" type="noConversion"/>
  </si>
  <si>
    <t>2.示例数据</t>
    <phoneticPr fontId="3" type="noConversion"/>
  </si>
  <si>
    <t>姓名</t>
    <phoneticPr fontId="3" type="noConversion"/>
  </si>
  <si>
    <t>1月</t>
    <phoneticPr fontId="3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</si>
  <si>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</si>
  <si>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</si>
  <si>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</si>
  <si>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</si>
  <si>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</si>
  <si>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</si>
  <si>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</si>
  <si>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</si>
  <si>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</si>
  <si>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</si>
  <si>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</si>
  <si>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张三丰</t>
    <phoneticPr fontId="3" type="noConversion"/>
  </si>
  <si>
    <t>李四光</t>
    <phoneticPr fontId="3" type="noConversion"/>
  </si>
  <si>
    <t>陈五新</t>
    <phoneticPr fontId="3" type="noConversion"/>
  </si>
  <si>
    <t>梁汉</t>
    <phoneticPr fontId="3" type="noConversion"/>
  </si>
  <si>
    <t>周立明</t>
    <phoneticPr fontId="3" type="noConversion"/>
  </si>
  <si>
    <t>黄兴</t>
    <phoneticPr fontId="3" type="noConversion"/>
  </si>
  <si>
    <t>类别</t>
    <phoneticPr fontId="3" type="noConversion"/>
  </si>
  <si>
    <t>数量</t>
    <phoneticPr fontId="3" type="noConversion"/>
  </si>
  <si>
    <t>销售数量大于等于40，1000元，否则就是空。</t>
    <phoneticPr fontId="3" type="noConversion"/>
  </si>
  <si>
    <t>And1</t>
    <phoneticPr fontId="3" type="noConversion"/>
  </si>
  <si>
    <t>A</t>
    <phoneticPr fontId="3" type="noConversion"/>
  </si>
  <si>
    <t>And1</t>
    <phoneticPr fontId="3" type="noConversion"/>
  </si>
  <si>
    <t>A</t>
    <phoneticPr fontId="3" type="noConversion"/>
  </si>
  <si>
    <t>B</t>
    <phoneticPr fontId="3" type="noConversion"/>
  </si>
  <si>
    <t>And2</t>
  </si>
  <si>
    <t>B</t>
    <phoneticPr fontId="3" type="noConversion"/>
  </si>
  <si>
    <t>C</t>
    <phoneticPr fontId="3" type="noConversion"/>
  </si>
  <si>
    <t>C</t>
    <phoneticPr fontId="3" type="noConversion"/>
  </si>
  <si>
    <t>D</t>
    <phoneticPr fontId="3" type="noConversion"/>
  </si>
  <si>
    <t>1.查找替换常用功能</t>
    <phoneticPr fontId="3" type="noConversion"/>
  </si>
  <si>
    <t>部门</t>
    <phoneticPr fontId="3" type="noConversion"/>
  </si>
  <si>
    <t>分数</t>
    <phoneticPr fontId="3" type="noConversion"/>
  </si>
  <si>
    <t>IT部</t>
    <phoneticPr fontId="3" type="noConversion"/>
  </si>
  <si>
    <t>李四军</t>
    <phoneticPr fontId="3" type="noConversion"/>
  </si>
  <si>
    <t>管理部</t>
    <phoneticPr fontId="3" type="noConversion"/>
  </si>
  <si>
    <t>陈冲</t>
    <phoneticPr fontId="3" type="noConversion"/>
  </si>
  <si>
    <t>黄山山</t>
    <phoneticPr fontId="3" type="noConversion"/>
  </si>
  <si>
    <t>梁永心</t>
    <phoneticPr fontId="3" type="noConversion"/>
  </si>
  <si>
    <t>财务部</t>
    <phoneticPr fontId="3" type="noConversion"/>
  </si>
  <si>
    <t>林立</t>
    <phoneticPr fontId="3" type="noConversion"/>
  </si>
  <si>
    <t>2.查找替换的常规用法（将"IT部"修改成"信息部")</t>
    <phoneticPr fontId="3" type="noConversion"/>
  </si>
  <si>
    <t>IT部</t>
    <phoneticPr fontId="3" type="noConversion"/>
  </si>
  <si>
    <t>管理部</t>
    <phoneticPr fontId="3" type="noConversion"/>
  </si>
  <si>
    <t>陈冲</t>
    <phoneticPr fontId="3" type="noConversion"/>
  </si>
  <si>
    <t>黄山山</t>
    <phoneticPr fontId="3" type="noConversion"/>
  </si>
  <si>
    <t>林立</t>
    <phoneticPr fontId="3" type="noConversion"/>
  </si>
  <si>
    <t>3.格式查找替换（将蓝底白字替换为黄底红字）</t>
    <phoneticPr fontId="3" type="noConversion"/>
  </si>
  <si>
    <t>李四军</t>
    <phoneticPr fontId="3" type="noConversion"/>
  </si>
  <si>
    <t>管理部</t>
    <phoneticPr fontId="3" type="noConversion"/>
  </si>
  <si>
    <t>财务部</t>
    <phoneticPr fontId="3" type="noConversion"/>
  </si>
  <si>
    <t>功能区或者快捷键</t>
    <phoneticPr fontId="3" type="noConversion"/>
  </si>
  <si>
    <t>ctrl+f</t>
    <phoneticPr fontId="3" type="noConversion"/>
  </si>
  <si>
    <t>Ctrl+h</t>
    <phoneticPr fontId="3" type="noConversion"/>
  </si>
  <si>
    <t>可以选择区域</t>
    <phoneticPr fontId="3" type="noConversion"/>
  </si>
  <si>
    <t>可以在选项中设置查找格式</t>
    <phoneticPr fontId="3" type="noConversion"/>
  </si>
  <si>
    <t>1.查找范围</t>
    <phoneticPr fontId="3" type="noConversion"/>
  </si>
  <si>
    <t>工作表</t>
    <phoneticPr fontId="3" type="noConversion"/>
  </si>
  <si>
    <t>工作簿</t>
    <phoneticPr fontId="3" type="noConversion"/>
  </si>
  <si>
    <t>2.搜索范围</t>
    <phoneticPr fontId="3" type="noConversion"/>
  </si>
  <si>
    <t>按行</t>
    <phoneticPr fontId="3" type="noConversion"/>
  </si>
  <si>
    <t>按列</t>
    <phoneticPr fontId="3" type="noConversion"/>
  </si>
  <si>
    <t>3.查找类型（范围）</t>
    <phoneticPr fontId="3" type="noConversion"/>
  </si>
  <si>
    <t>公式</t>
    <phoneticPr fontId="3" type="noConversion"/>
  </si>
  <si>
    <t>值</t>
    <phoneticPr fontId="3" type="noConversion"/>
  </si>
  <si>
    <t>批注</t>
    <phoneticPr fontId="3" type="noConversion"/>
  </si>
  <si>
    <t>4.其它选项</t>
    <phoneticPr fontId="3" type="noConversion"/>
  </si>
  <si>
    <t>区分大小写</t>
    <phoneticPr fontId="3" type="noConversion"/>
  </si>
  <si>
    <t>a</t>
    <phoneticPr fontId="3" type="noConversion"/>
  </si>
  <si>
    <t>A</t>
    <phoneticPr fontId="3" type="noConversion"/>
  </si>
  <si>
    <t>am</t>
    <phoneticPr fontId="3" type="noConversion"/>
  </si>
  <si>
    <t>单元格匹配</t>
    <phoneticPr fontId="3" type="noConversion"/>
  </si>
  <si>
    <t>an</t>
    <phoneticPr fontId="3" type="noConversion"/>
  </si>
  <si>
    <t>are</t>
    <phoneticPr fontId="3" type="noConversion"/>
  </si>
  <si>
    <t>区分全/半角</t>
    <phoneticPr fontId="3" type="noConversion"/>
  </si>
  <si>
    <t>Ａ</t>
    <phoneticPr fontId="3" type="noConversion"/>
  </si>
  <si>
    <t>a</t>
    <phoneticPr fontId="3" type="noConversion"/>
  </si>
  <si>
    <t>ａ</t>
    <phoneticPr fontId="3" type="noConversion"/>
  </si>
  <si>
    <t>aａａａ</t>
    <phoneticPr fontId="3" type="noConversion"/>
  </si>
  <si>
    <t>查找选项</t>
    <phoneticPr fontId="3" type="noConversion"/>
  </si>
  <si>
    <t>业务员</t>
    <phoneticPr fontId="3" type="noConversion"/>
  </si>
  <si>
    <t>1月</t>
    <phoneticPr fontId="3" type="noConversion"/>
  </si>
  <si>
    <t>张三</t>
    <phoneticPr fontId="3" type="noConversion"/>
  </si>
  <si>
    <t>李四林</t>
    <phoneticPr fontId="3" type="noConversion"/>
  </si>
  <si>
    <t>黄文</t>
    <phoneticPr fontId="3" type="noConversion"/>
  </si>
  <si>
    <t>常永清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</si>
</sst>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family val="2"/>
      <scheme val="minor"/>
    </font>
    <font>
      <sz val="18"/>
      <color theme="3"/>
      <name val="宋体"/>
      <family val="2"/>
      <charset val="134"/>
      <scheme val="maj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sz val="20"/>
      <color rgb="FFFF0000"/>
      <name val="宋体"/>
      <family val="2"/>
      <scheme val="minor"/>
    </font>
    <font>
      <b/>
      <sz val="11"/>
      <color rgb="FF002060"/>
      <name val="宋体"/>
      <family val="2"/>
      <charset val="134"/>
      <scheme val="minor"/>
    </font>
    <font>
      <u/>
      <sz val="11"/>
      <color theme="1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rgb="FFFFFF00"/>
      <name val="宋体"/>
      <family val="2"/>
      <charset val="134"/>
      <scheme val="minor"/>
    </font>
    <font>
      <sz val="18"/>
      <color theme="3"/>
      <name val="华文琥珀"/>
      <family val="3"/>
      <charset val="134"/>
    </font>
    <font>
      <sz val="11"/>
      <color theme="1"/>
      <name val="华文琥珀"/>
      <family val="3"/>
      <charset val="134"/>
    </font>
    <font>
      <b/>
      <sz val="10"/>
      <color rgb="FFC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rgb="FF7030A0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6" fillId="2" borderId="6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2" borderId="1" applyProtection="0">
      <alignment vertical="center"/>
    </xf>
  </cellStyleXfs>
  <cellXfs count="3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/>
    <xf numFmtId="0" fontId="0" fillId="0" borderId="2" xfId="0" quotePrefix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Fill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 indent="1"/>
    </xf>
    <xf numFmtId="0" fontId="6" fillId="2" borderId="6" xfId="4" applyAlignment="1"/>
    <xf numFmtId="0" fontId="8" fillId="0" borderId="0" xfId="6"/>
    <xf numFmtId="0" fontId="7" fillId="0" borderId="0" xfId="5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1" applyFont="1" applyAlignment="1"/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3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</cellXfs>
  <cellStyles count="8">
    <cellStyle name="标题" xfId="1" builtinId="15"/>
    <cellStyle name="常规" xfId="0" builtinId="0"/>
    <cellStyle name="超链接" xfId="6" builtinId="8"/>
    <cellStyle name="输出" xfId="2" builtinId="21" customBuiltin="1"/>
    <cellStyle name="输出 2" xfId="4"/>
    <cellStyle name="输出 特制" xfId="7"/>
    <cellStyle name="已访问的超链接" xfId="5" builtinId="9"/>
    <cellStyle name="着色 4" xfId="3" builtinId="4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微软雅黑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</dxf>
  </dxfs>
  <tableStyles count="0" defaultTableStyle="TableStyleMedium27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8</xdr:row>
      <xdr:rowOff>9525</xdr:rowOff>
    </xdr:from>
    <xdr:to>
      <xdr:col>16</xdr:col>
      <xdr:colOff>209550</xdr:colOff>
      <xdr:row>24</xdr:row>
      <xdr:rowOff>133350</xdr:rowOff>
    </xdr:to>
    <xdr:sp macro="" textlink="">
      <xdr:nvSpPr>
        <xdr:cNvPr id="2" name="圆角矩形 1"/>
        <xdr:cNvSpPr/>
      </xdr:nvSpPr>
      <xdr:spPr>
        <a:xfrm>
          <a:off x="4924425" y="1495425"/>
          <a:ext cx="6257925" cy="28670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表4" displayName="表4" ref="F1:H5" totalsRowShown="0" headerRowDxfId="8" dataDxfId="7">
  <autoFilter ref="F1:H5"/>
  <tableColumns count="3">
    <tableColumn id="1" name="编号" dataDxfId="6"/>
    <tableColumn id="2" name="姓名" dataDxfId="5"/>
    <tableColumn id="3" name="分数" dataDxfId="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F12:H16" totalsRowShown="0">
  <autoFilter ref="F12:H16"/>
  <tableColumns count="3">
    <tableColumn id="1" name="编号"/>
    <tableColumn id="2" name="姓名"/>
    <tableColumn id="3" name="分数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K12:M16" totalsRowShown="0" headerRowDxfId="3">
  <autoFilter ref="K12:M16"/>
  <tableColumns count="3">
    <tableColumn id="1" name="编号" dataDxfId="2"/>
    <tableColumn id="2" name="姓名" dataDxfId="1"/>
    <tableColumn id="3" name="分数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橙红色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180408.xlsx" TargetMode="External"/><Relationship Id="rId2" Type="http://schemas.openxmlformats.org/officeDocument/2006/relationships/hyperlink" Target="http://www.baidu.com/" TargetMode="External"/><Relationship Id="rId1" Type="http://schemas.openxmlformats.org/officeDocument/2006/relationships/hyperlink" Target="http://www.baidu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E20" sqref="E20"/>
    </sheetView>
  </sheetViews>
  <sheetFormatPr defaultRowHeight="13.5" x14ac:dyDescent="0.15"/>
  <sheetData>
    <row r="1" spans="1:15" ht="25.5" x14ac:dyDescent="0.3">
      <c r="A1" s="11" t="s">
        <v>32</v>
      </c>
    </row>
    <row r="2" spans="1:15" ht="16.5" x14ac:dyDescent="0.35">
      <c r="A2" s="1" t="s">
        <v>0</v>
      </c>
    </row>
    <row r="3" spans="1:15" ht="16.5" x14ac:dyDescent="0.35">
      <c r="A3" s="2" t="s">
        <v>1</v>
      </c>
      <c r="J3" s="4" t="s">
        <v>16</v>
      </c>
      <c r="K3" s="4" t="s">
        <v>17</v>
      </c>
      <c r="L3" s="4" t="s">
        <v>18</v>
      </c>
      <c r="M3" s="5" t="s">
        <v>19</v>
      </c>
      <c r="N3" s="4" t="s">
        <v>20</v>
      </c>
    </row>
    <row r="4" spans="1:15" ht="16.5" x14ac:dyDescent="0.35">
      <c r="A4" s="3" t="s">
        <v>2</v>
      </c>
      <c r="J4" s="6"/>
      <c r="K4" s="6"/>
      <c r="L4" s="6"/>
      <c r="M4" s="6"/>
      <c r="N4" s="4">
        <v>1</v>
      </c>
    </row>
    <row r="5" spans="1:15" ht="16.5" x14ac:dyDescent="0.35">
      <c r="A5" s="3" t="s">
        <v>3</v>
      </c>
      <c r="C5" t="s">
        <v>14</v>
      </c>
      <c r="E5" t="s">
        <v>15</v>
      </c>
      <c r="J5" s="6"/>
      <c r="K5" s="6"/>
      <c r="L5" s="6"/>
      <c r="M5" s="6"/>
      <c r="N5" s="7" t="s">
        <v>21</v>
      </c>
      <c r="O5">
        <f>SUM(N4:N5)</f>
        <v>1</v>
      </c>
    </row>
    <row r="6" spans="1:15" ht="16.5" x14ac:dyDescent="0.35">
      <c r="A6" s="3" t="s">
        <v>4</v>
      </c>
      <c r="J6" s="6"/>
      <c r="K6" s="6"/>
      <c r="L6" s="6"/>
      <c r="M6" s="6"/>
      <c r="N6" s="6"/>
    </row>
    <row r="7" spans="1:15" ht="16.5" x14ac:dyDescent="0.35">
      <c r="A7" s="2" t="s">
        <v>5</v>
      </c>
      <c r="J7" s="6"/>
      <c r="K7" s="6"/>
      <c r="L7" s="6"/>
      <c r="M7" s="6"/>
      <c r="N7" s="6"/>
    </row>
    <row r="8" spans="1:15" ht="16.5" x14ac:dyDescent="0.35">
      <c r="A8" s="3" t="s">
        <v>6</v>
      </c>
      <c r="J8" s="6"/>
      <c r="K8" s="8"/>
      <c r="L8" s="9"/>
      <c r="M8" s="6"/>
      <c r="N8" s="6"/>
    </row>
    <row r="9" spans="1:15" ht="16.5" x14ac:dyDescent="0.35">
      <c r="A9" s="3" t="s">
        <v>7</v>
      </c>
      <c r="J9" s="6"/>
      <c r="K9" s="6"/>
      <c r="L9" s="6"/>
      <c r="M9" s="6"/>
      <c r="N9" s="6"/>
    </row>
    <row r="10" spans="1:15" ht="16.5" x14ac:dyDescent="0.35">
      <c r="A10" s="3" t="s">
        <v>8</v>
      </c>
      <c r="J10" s="6"/>
      <c r="K10" s="6"/>
      <c r="L10" s="6"/>
      <c r="M10" s="6"/>
      <c r="N10" s="6"/>
    </row>
    <row r="11" spans="1:15" ht="16.5" x14ac:dyDescent="0.35">
      <c r="A11" s="3" t="s">
        <v>9</v>
      </c>
      <c r="F11" t="s">
        <v>33</v>
      </c>
      <c r="J11" s="6"/>
      <c r="K11" s="6"/>
      <c r="L11" s="6"/>
      <c r="M11" s="6"/>
      <c r="N11" s="6"/>
    </row>
    <row r="12" spans="1:15" ht="16.5" x14ac:dyDescent="0.35">
      <c r="A12" s="3" t="s">
        <v>10</v>
      </c>
    </row>
    <row r="13" spans="1:15" ht="16.5" x14ac:dyDescent="0.35">
      <c r="A13" s="3" t="s">
        <v>11</v>
      </c>
    </row>
    <row r="14" spans="1:15" ht="16.5" x14ac:dyDescent="0.35">
      <c r="A14" s="1" t="s">
        <v>12</v>
      </c>
    </row>
    <row r="15" spans="1:15" ht="16.5" x14ac:dyDescent="0.35">
      <c r="A15" s="1" t="s">
        <v>13</v>
      </c>
    </row>
    <row r="18" spans="10:16" x14ac:dyDescent="0.15">
      <c r="J18" s="4" t="s">
        <v>22</v>
      </c>
      <c r="K18" s="4" t="s">
        <v>23</v>
      </c>
      <c r="L18" s="4" t="s">
        <v>24</v>
      </c>
      <c r="N18" s="10" t="s">
        <v>22</v>
      </c>
      <c r="O18" s="10" t="s">
        <v>25</v>
      </c>
      <c r="P18" s="10" t="s">
        <v>26</v>
      </c>
    </row>
    <row r="19" spans="10:16" x14ac:dyDescent="0.15">
      <c r="J19" s="4" t="s">
        <v>27</v>
      </c>
      <c r="K19" s="4">
        <v>12</v>
      </c>
      <c r="L19" s="4">
        <v>32</v>
      </c>
      <c r="N19" s="4" t="s">
        <v>27</v>
      </c>
      <c r="O19" s="4" t="s">
        <v>23</v>
      </c>
      <c r="P19" s="4">
        <v>12</v>
      </c>
    </row>
    <row r="20" spans="10:16" x14ac:dyDescent="0.15">
      <c r="J20" s="4" t="s">
        <v>28</v>
      </c>
      <c r="K20" s="4">
        <v>24</v>
      </c>
      <c r="L20" s="4">
        <v>21</v>
      </c>
      <c r="N20" s="4" t="s">
        <v>27</v>
      </c>
      <c r="O20" s="4" t="s">
        <v>29</v>
      </c>
      <c r="P20" s="4">
        <v>32</v>
      </c>
    </row>
    <row r="21" spans="10:16" x14ac:dyDescent="0.15">
      <c r="N21" s="4" t="s">
        <v>28</v>
      </c>
      <c r="O21" s="4" t="s">
        <v>30</v>
      </c>
      <c r="P21" s="4">
        <v>24</v>
      </c>
    </row>
    <row r="22" spans="10:16" x14ac:dyDescent="0.15">
      <c r="N22" s="4" t="s">
        <v>31</v>
      </c>
      <c r="O22" s="4" t="s">
        <v>29</v>
      </c>
      <c r="P22" s="4">
        <v>21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/>
  </sheetViews>
  <sheetFormatPr defaultRowHeight="16.5" customHeight="1" x14ac:dyDescent="0.15"/>
  <sheetData>
    <row r="1" spans="1:10" ht="16.5" customHeight="1" x14ac:dyDescent="0.35">
      <c r="A1" s="1" t="s">
        <v>34</v>
      </c>
    </row>
    <row r="2" spans="1:10" ht="16.5" customHeight="1" x14ac:dyDescent="0.35">
      <c r="A2" s="1" t="s">
        <v>35</v>
      </c>
    </row>
    <row r="3" spans="1:10" ht="16.5" customHeight="1" x14ac:dyDescent="0.35">
      <c r="A3" s="12" t="s">
        <v>36</v>
      </c>
    </row>
    <row r="4" spans="1:10" ht="16.5" customHeight="1" x14ac:dyDescent="0.35">
      <c r="A4" s="12" t="s">
        <v>37</v>
      </c>
    </row>
    <row r="5" spans="1:10" ht="16.5" customHeight="1" x14ac:dyDescent="0.35">
      <c r="A5" s="12" t="s">
        <v>38</v>
      </c>
    </row>
    <row r="6" spans="1:10" ht="16.5" customHeight="1" x14ac:dyDescent="0.35">
      <c r="A6" s="12" t="s">
        <v>39</v>
      </c>
    </row>
    <row r="7" spans="1:10" ht="16.5" customHeight="1" x14ac:dyDescent="0.35">
      <c r="A7" s="12" t="s">
        <v>40</v>
      </c>
    </row>
    <row r="8" spans="1:10" ht="16.5" customHeight="1" x14ac:dyDescent="0.35">
      <c r="A8" s="1"/>
    </row>
    <row r="9" spans="1:10" ht="16.5" customHeight="1" x14ac:dyDescent="0.35">
      <c r="A9" s="1"/>
    </row>
    <row r="12" spans="1:10" ht="16.5" customHeight="1" x14ac:dyDescent="0.15">
      <c r="A12" s="13" t="s">
        <v>41</v>
      </c>
      <c r="B12" s="13" t="s">
        <v>42</v>
      </c>
      <c r="C12" s="13" t="s">
        <v>43</v>
      </c>
      <c r="D12" s="13" t="s">
        <v>44</v>
      </c>
      <c r="E12" s="13" t="s">
        <v>45</v>
      </c>
      <c r="H12" s="13" t="s">
        <v>46</v>
      </c>
      <c r="I12" s="13" t="s">
        <v>47</v>
      </c>
      <c r="J12" s="13" t="s">
        <v>48</v>
      </c>
    </row>
    <row r="13" spans="1:10" ht="16.5" customHeight="1" x14ac:dyDescent="0.15">
      <c r="A13" s="13" t="s">
        <v>49</v>
      </c>
      <c r="B13" s="13" t="s">
        <v>50</v>
      </c>
      <c r="C13" s="13" t="s">
        <v>51</v>
      </c>
      <c r="D13" s="13">
        <v>4999</v>
      </c>
      <c r="E13" s="13">
        <v>0.2</v>
      </c>
      <c r="H13" s="13" t="s">
        <v>52</v>
      </c>
      <c r="I13" s="13" t="s">
        <v>53</v>
      </c>
      <c r="J13" s="13">
        <v>89</v>
      </c>
    </row>
    <row r="14" spans="1:10" ht="16.5" customHeight="1" x14ac:dyDescent="0.15">
      <c r="A14" s="13" t="s">
        <v>54</v>
      </c>
      <c r="B14" s="13" t="s">
        <v>55</v>
      </c>
      <c r="C14" s="13" t="s">
        <v>56</v>
      </c>
      <c r="D14" s="13">
        <v>3880</v>
      </c>
      <c r="E14" s="13">
        <v>0.14000000000000001</v>
      </c>
      <c r="H14" s="13" t="s">
        <v>57</v>
      </c>
      <c r="I14" s="13" t="s">
        <v>58</v>
      </c>
      <c r="J14" s="13">
        <v>98</v>
      </c>
    </row>
    <row r="15" spans="1:10" ht="16.5" customHeight="1" x14ac:dyDescent="0.15">
      <c r="A15" s="13" t="s">
        <v>59</v>
      </c>
      <c r="B15" s="13" t="s">
        <v>60</v>
      </c>
      <c r="C15" s="13" t="s">
        <v>61</v>
      </c>
      <c r="D15" s="13">
        <v>3399</v>
      </c>
      <c r="E15" s="13">
        <v>0.12</v>
      </c>
      <c r="H15" s="13" t="s">
        <v>62</v>
      </c>
      <c r="I15" s="13" t="s">
        <v>63</v>
      </c>
      <c r="J15" s="13">
        <v>87</v>
      </c>
    </row>
    <row r="16" spans="1:10" ht="16.5" customHeight="1" x14ac:dyDescent="0.15">
      <c r="A16" s="13" t="s">
        <v>64</v>
      </c>
      <c r="B16" s="13" t="s">
        <v>65</v>
      </c>
      <c r="C16" s="13" t="s">
        <v>66</v>
      </c>
      <c r="D16" s="13">
        <v>3599</v>
      </c>
      <c r="E16" s="13">
        <v>0.17</v>
      </c>
      <c r="H16" s="13" t="s">
        <v>67</v>
      </c>
      <c r="I16" s="13" t="s">
        <v>68</v>
      </c>
      <c r="J16" s="13">
        <v>96</v>
      </c>
    </row>
    <row r="17" spans="1:14" ht="16.5" customHeight="1" x14ac:dyDescent="0.15">
      <c r="A17" s="13" t="s">
        <v>69</v>
      </c>
      <c r="B17" s="13" t="s">
        <v>70</v>
      </c>
      <c r="C17" s="13" t="s">
        <v>71</v>
      </c>
      <c r="D17" s="13">
        <v>3499</v>
      </c>
      <c r="E17" s="13">
        <v>0.11</v>
      </c>
      <c r="N17" s="14">
        <v>252</v>
      </c>
    </row>
    <row r="22" spans="1:14" ht="16.5" customHeight="1" x14ac:dyDescent="0.15">
      <c r="A22" s="14" t="s">
        <v>73</v>
      </c>
      <c r="C22" s="15"/>
    </row>
    <row r="23" spans="1:14" ht="16.5" customHeight="1" x14ac:dyDescent="0.15">
      <c r="G23" s="14" t="s">
        <v>72</v>
      </c>
    </row>
  </sheetData>
  <phoneticPr fontId="3" type="noConversion"/>
  <hyperlinks>
    <hyperlink ref="A22" r:id="rId1" display="我要自学网"/>
    <hyperlink ref="G23" r:id="rId2"/>
    <hyperlink ref="N17" r:id="rId3" location="Sheet1!A1" display="180408.xlsx - Sheet1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/>
  </sheetViews>
  <sheetFormatPr defaultRowHeight="13.5" x14ac:dyDescent="0.15"/>
  <sheetData>
    <row r="1" spans="1:15" ht="16.5" x14ac:dyDescent="0.35">
      <c r="A1" s="1" t="s">
        <v>74</v>
      </c>
      <c r="F1" s="1" t="s">
        <v>82</v>
      </c>
      <c r="G1" s="1" t="s">
        <v>83</v>
      </c>
      <c r="H1" s="1" t="s">
        <v>84</v>
      </c>
      <c r="I1" s="1"/>
      <c r="J1" s="1"/>
      <c r="K1" s="16" t="s">
        <v>85</v>
      </c>
      <c r="L1" s="16" t="s">
        <v>86</v>
      </c>
      <c r="M1" s="16" t="s">
        <v>87</v>
      </c>
      <c r="N1" s="1"/>
    </row>
    <row r="2" spans="1:15" ht="16.5" x14ac:dyDescent="0.35">
      <c r="A2" s="12" t="s">
        <v>75</v>
      </c>
      <c r="F2" s="1" t="s">
        <v>88</v>
      </c>
      <c r="G2" s="1" t="s">
        <v>89</v>
      </c>
      <c r="H2" s="1">
        <v>68</v>
      </c>
      <c r="I2" s="1"/>
      <c r="J2" s="1"/>
      <c r="K2" s="16" t="s">
        <v>90</v>
      </c>
      <c r="L2" s="17" t="s">
        <v>27</v>
      </c>
      <c r="M2" s="16">
        <v>87</v>
      </c>
      <c r="N2" s="1"/>
    </row>
    <row r="3" spans="1:15" ht="16.5" x14ac:dyDescent="0.35">
      <c r="A3" s="1" t="s">
        <v>76</v>
      </c>
      <c r="F3" s="1" t="s">
        <v>57</v>
      </c>
      <c r="G3" s="1" t="s">
        <v>91</v>
      </c>
      <c r="H3" s="1">
        <v>77</v>
      </c>
      <c r="I3" s="1"/>
      <c r="J3" s="1"/>
      <c r="K3" s="16" t="s">
        <v>57</v>
      </c>
      <c r="L3" s="17" t="s">
        <v>91</v>
      </c>
      <c r="M3" s="16">
        <v>69</v>
      </c>
      <c r="N3" s="1"/>
    </row>
    <row r="4" spans="1:15" ht="16.5" x14ac:dyDescent="0.35">
      <c r="A4" s="12" t="s">
        <v>77</v>
      </c>
      <c r="F4" s="1" t="s">
        <v>62</v>
      </c>
      <c r="G4" s="1" t="s">
        <v>92</v>
      </c>
      <c r="H4" s="1">
        <v>62</v>
      </c>
      <c r="I4" s="1"/>
      <c r="J4" s="1"/>
      <c r="K4" s="16" t="s">
        <v>62</v>
      </c>
      <c r="L4" s="17" t="s">
        <v>63</v>
      </c>
      <c r="M4" s="16">
        <v>82</v>
      </c>
      <c r="N4" s="1"/>
    </row>
    <row r="5" spans="1:15" ht="16.5" x14ac:dyDescent="0.35">
      <c r="A5" s="12" t="s">
        <v>78</v>
      </c>
      <c r="F5" s="1" t="s">
        <v>67</v>
      </c>
      <c r="G5" s="1" t="s">
        <v>93</v>
      </c>
      <c r="H5" s="1">
        <v>93</v>
      </c>
      <c r="I5" s="1"/>
      <c r="J5" s="1"/>
      <c r="K5" s="16" t="s">
        <v>67</v>
      </c>
      <c r="L5" s="17" t="s">
        <v>94</v>
      </c>
      <c r="M5" s="16">
        <v>82</v>
      </c>
      <c r="N5" s="1"/>
    </row>
    <row r="6" spans="1:15" ht="16.5" x14ac:dyDescent="0.35">
      <c r="A6" s="12" t="s">
        <v>79</v>
      </c>
    </row>
    <row r="7" spans="1:15" ht="16.5" x14ac:dyDescent="0.35">
      <c r="A7" s="12" t="s">
        <v>80</v>
      </c>
    </row>
    <row r="8" spans="1:15" ht="16.5" x14ac:dyDescent="0.35">
      <c r="A8" s="12" t="s">
        <v>81</v>
      </c>
    </row>
    <row r="10" spans="1:15" x14ac:dyDescent="0.15">
      <c r="O10" t="s">
        <v>103</v>
      </c>
    </row>
    <row r="12" spans="1:15" ht="16.5" x14ac:dyDescent="0.15">
      <c r="F12" t="s">
        <v>95</v>
      </c>
      <c r="G12" t="s">
        <v>96</v>
      </c>
      <c r="H12" t="s">
        <v>97</v>
      </c>
      <c r="K12" s="16" t="s">
        <v>85</v>
      </c>
      <c r="L12" s="16" t="s">
        <v>86</v>
      </c>
      <c r="M12" s="16" t="s">
        <v>87</v>
      </c>
      <c r="O12" t="s">
        <v>104</v>
      </c>
    </row>
    <row r="13" spans="1:15" ht="16.5" x14ac:dyDescent="0.15">
      <c r="F13" t="s">
        <v>98</v>
      </c>
      <c r="G13" t="s">
        <v>99</v>
      </c>
      <c r="H13">
        <v>87</v>
      </c>
      <c r="K13" s="16" t="s">
        <v>90</v>
      </c>
      <c r="L13" s="17" t="s">
        <v>27</v>
      </c>
      <c r="M13" s="16">
        <v>87</v>
      </c>
      <c r="O13" t="s">
        <v>106</v>
      </c>
    </row>
    <row r="14" spans="1:15" ht="16.5" x14ac:dyDescent="0.15">
      <c r="F14" t="s">
        <v>57</v>
      </c>
      <c r="G14" t="s">
        <v>100</v>
      </c>
      <c r="H14">
        <v>69</v>
      </c>
      <c r="K14" s="16" t="s">
        <v>57</v>
      </c>
      <c r="L14" s="17" t="s">
        <v>91</v>
      </c>
      <c r="M14" s="16">
        <v>69</v>
      </c>
      <c r="O14" t="s">
        <v>105</v>
      </c>
    </row>
    <row r="15" spans="1:15" ht="16.5" x14ac:dyDescent="0.15">
      <c r="F15" t="s">
        <v>62</v>
      </c>
      <c r="G15" t="s">
        <v>101</v>
      </c>
      <c r="H15">
        <v>82</v>
      </c>
      <c r="K15" s="16" t="s">
        <v>62</v>
      </c>
      <c r="L15" s="17" t="s">
        <v>63</v>
      </c>
      <c r="M15" s="16">
        <v>82</v>
      </c>
      <c r="O15" t="s">
        <v>107</v>
      </c>
    </row>
    <row r="16" spans="1:15" ht="16.5" x14ac:dyDescent="0.15">
      <c r="F16" t="s">
        <v>67</v>
      </c>
      <c r="G16" t="s">
        <v>102</v>
      </c>
      <c r="H16">
        <v>82</v>
      </c>
      <c r="K16" s="16" t="s">
        <v>67</v>
      </c>
      <c r="L16" s="17" t="s">
        <v>94</v>
      </c>
      <c r="M16" s="16">
        <v>82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3.5" x14ac:dyDescent="0.15"/>
  <sheetData>
    <row r="1" spans="1:3" ht="23.25" x14ac:dyDescent="0.35">
      <c r="A1" s="18" t="s">
        <v>108</v>
      </c>
      <c r="B1" s="18" t="s">
        <v>96</v>
      </c>
      <c r="C1" s="18" t="s">
        <v>97</v>
      </c>
    </row>
    <row r="2" spans="1:3" ht="14.25" x14ac:dyDescent="0.2">
      <c r="A2" s="19" t="s">
        <v>98</v>
      </c>
      <c r="B2" s="19" t="s">
        <v>99</v>
      </c>
      <c r="C2" s="19">
        <v>83</v>
      </c>
    </row>
    <row r="3" spans="1:3" ht="14.25" x14ac:dyDescent="0.2">
      <c r="A3" s="19" t="s">
        <v>57</v>
      </c>
      <c r="B3" s="19" t="s">
        <v>100</v>
      </c>
      <c r="C3" s="19">
        <v>52</v>
      </c>
    </row>
    <row r="4" spans="1:3" ht="14.25" x14ac:dyDescent="0.2">
      <c r="A4" s="19" t="s">
        <v>62</v>
      </c>
      <c r="B4" s="19" t="s">
        <v>101</v>
      </c>
      <c r="C4" s="19">
        <v>98</v>
      </c>
    </row>
    <row r="5" spans="1:3" ht="14.25" x14ac:dyDescent="0.2">
      <c r="A5" s="19" t="s">
        <v>67</v>
      </c>
      <c r="B5" s="19" t="s">
        <v>102</v>
      </c>
      <c r="C5" s="19">
        <v>68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/>
  </sheetViews>
  <sheetFormatPr defaultRowHeight="13.5" x14ac:dyDescent="0.15"/>
  <sheetData>
    <row r="1" spans="1:13" ht="16.5" x14ac:dyDescent="0.35">
      <c r="A1" s="20" t="s">
        <v>109</v>
      </c>
      <c r="B1" s="1"/>
      <c r="C1" s="1"/>
      <c r="D1" s="1"/>
      <c r="E1" s="1"/>
      <c r="F1" s="1"/>
    </row>
    <row r="2" spans="1:13" ht="16.5" x14ac:dyDescent="0.35">
      <c r="A2" s="1" t="s">
        <v>110</v>
      </c>
      <c r="B2" s="1"/>
      <c r="C2" s="1"/>
      <c r="D2" s="1"/>
      <c r="E2" s="1"/>
      <c r="F2" s="1"/>
    </row>
    <row r="3" spans="1:13" ht="16.5" x14ac:dyDescent="0.35">
      <c r="A3" s="1"/>
      <c r="B3" s="1"/>
      <c r="C3" s="1"/>
      <c r="D3" s="1"/>
      <c r="E3" s="1"/>
      <c r="F3" s="1"/>
    </row>
    <row r="4" spans="1:13" ht="16.5" x14ac:dyDescent="0.35">
      <c r="A4" s="20" t="s">
        <v>111</v>
      </c>
      <c r="B4" s="1"/>
      <c r="C4" s="1"/>
      <c r="D4" s="1"/>
      <c r="E4" s="1"/>
      <c r="F4" s="1"/>
    </row>
    <row r="5" spans="1:13" ht="16.5" x14ac:dyDescent="0.15">
      <c r="A5" s="21" t="s">
        <v>112</v>
      </c>
      <c r="B5" s="16"/>
      <c r="C5" s="23" t="s">
        <v>125</v>
      </c>
      <c r="D5" s="16"/>
      <c r="E5" s="16"/>
      <c r="F5" s="16"/>
    </row>
    <row r="6" spans="1:13" ht="16.5" x14ac:dyDescent="0.15">
      <c r="A6" s="21" t="s">
        <v>113</v>
      </c>
      <c r="B6" s="16"/>
      <c r="C6" s="16" t="s">
        <v>126</v>
      </c>
      <c r="D6" s="16"/>
      <c r="E6" s="16" t="s">
        <v>128</v>
      </c>
      <c r="F6" s="16"/>
    </row>
    <row r="7" spans="1:13" ht="16.5" x14ac:dyDescent="0.15">
      <c r="A7" s="21" t="s">
        <v>114</v>
      </c>
      <c r="B7" s="16"/>
      <c r="C7" s="16" t="s">
        <v>127</v>
      </c>
      <c r="D7" s="16"/>
      <c r="E7" s="16"/>
      <c r="F7" s="16"/>
      <c r="I7">
        <v>4</v>
      </c>
      <c r="J7">
        <v>56</v>
      </c>
      <c r="K7" t="b">
        <f>I6&gt;I7</f>
        <v>0</v>
      </c>
      <c r="M7" t="b">
        <f>1=1</f>
        <v>1</v>
      </c>
    </row>
    <row r="8" spans="1:13" ht="16.5" x14ac:dyDescent="0.35">
      <c r="A8" s="1"/>
      <c r="B8" s="1"/>
      <c r="C8" s="1"/>
      <c r="D8" s="1"/>
      <c r="E8" s="1"/>
      <c r="F8" s="1"/>
    </row>
    <row r="9" spans="1:13" ht="16.5" x14ac:dyDescent="0.35">
      <c r="A9" s="20" t="s">
        <v>115</v>
      </c>
      <c r="B9" s="1"/>
      <c r="C9" s="1"/>
      <c r="D9" s="1"/>
      <c r="E9" s="1"/>
      <c r="F9" s="1"/>
    </row>
    <row r="10" spans="1:13" ht="16.5" x14ac:dyDescent="0.35">
      <c r="A10" s="22" t="s">
        <v>116</v>
      </c>
      <c r="B10" s="22" t="s">
        <v>117</v>
      </c>
      <c r="C10" s="1"/>
      <c r="D10" s="1"/>
      <c r="E10" s="1"/>
      <c r="F10" s="1"/>
    </row>
    <row r="11" spans="1:13" ht="16.5" x14ac:dyDescent="0.35">
      <c r="A11" s="22" t="s">
        <v>118</v>
      </c>
      <c r="B11" s="22">
        <v>99</v>
      </c>
      <c r="C11" s="1">
        <f>(B11&gt;=90)*100</f>
        <v>100</v>
      </c>
      <c r="D11" s="1"/>
      <c r="E11" s="1"/>
      <c r="F11" s="1"/>
    </row>
    <row r="12" spans="1:13" ht="16.5" x14ac:dyDescent="0.35">
      <c r="A12" s="22" t="s">
        <v>119</v>
      </c>
      <c r="B12" s="22">
        <v>78</v>
      </c>
      <c r="C12" s="1">
        <f t="shared" ref="C12:C17" si="0">(B12&gt;=90)*100</f>
        <v>0</v>
      </c>
      <c r="D12" s="1"/>
      <c r="E12" s="1"/>
      <c r="F12" s="1"/>
    </row>
    <row r="13" spans="1:13" ht="16.5" x14ac:dyDescent="0.35">
      <c r="A13" s="22" t="s">
        <v>120</v>
      </c>
      <c r="B13" s="22">
        <v>69</v>
      </c>
      <c r="C13" s="1">
        <f t="shared" si="0"/>
        <v>0</v>
      </c>
      <c r="D13" s="1"/>
      <c r="E13" s="1"/>
      <c r="F13" s="1"/>
    </row>
    <row r="14" spans="1:13" ht="16.5" x14ac:dyDescent="0.35">
      <c r="A14" s="22" t="s">
        <v>121</v>
      </c>
      <c r="B14" s="22">
        <v>98</v>
      </c>
      <c r="C14" s="1">
        <f t="shared" si="0"/>
        <v>100</v>
      </c>
      <c r="D14" s="1"/>
      <c r="E14" s="1"/>
      <c r="F14" s="1"/>
    </row>
    <row r="15" spans="1:13" ht="16.5" x14ac:dyDescent="0.35">
      <c r="A15" s="22" t="s">
        <v>122</v>
      </c>
      <c r="B15" s="22">
        <v>82</v>
      </c>
      <c r="C15" s="1">
        <f t="shared" si="0"/>
        <v>0</v>
      </c>
      <c r="D15" s="1"/>
      <c r="E15" s="1"/>
      <c r="F15" s="1"/>
    </row>
    <row r="16" spans="1:13" ht="16.5" x14ac:dyDescent="0.35">
      <c r="A16" s="22" t="s">
        <v>123</v>
      </c>
      <c r="B16" s="22">
        <v>98</v>
      </c>
      <c r="C16" s="1">
        <f t="shared" si="0"/>
        <v>100</v>
      </c>
      <c r="D16" s="1"/>
      <c r="E16" s="1"/>
      <c r="F16" s="1"/>
    </row>
    <row r="17" spans="1:6" ht="16.5" x14ac:dyDescent="0.35">
      <c r="A17" s="22" t="s">
        <v>124</v>
      </c>
      <c r="B17" s="22">
        <v>73</v>
      </c>
      <c r="C17" s="1">
        <f t="shared" si="0"/>
        <v>0</v>
      </c>
      <c r="D17" s="1"/>
      <c r="E17" s="1"/>
      <c r="F17" s="1"/>
    </row>
    <row r="18" spans="1:6" ht="16.5" x14ac:dyDescent="0.35">
      <c r="A18" s="1"/>
      <c r="B18" s="1"/>
      <c r="C18" s="1"/>
      <c r="D18" s="1"/>
      <c r="E18" s="1"/>
      <c r="F18" s="1"/>
    </row>
    <row r="19" spans="1:6" ht="16.5" x14ac:dyDescent="0.35">
      <c r="A19" s="1"/>
      <c r="B19" s="1"/>
      <c r="C19" s="1"/>
      <c r="D19" s="1"/>
      <c r="E19" s="1"/>
      <c r="F19" s="1"/>
    </row>
    <row r="20" spans="1:6" ht="16.5" x14ac:dyDescent="0.35">
      <c r="A20" s="1"/>
      <c r="B20" s="1"/>
      <c r="C20" s="1"/>
      <c r="D20" s="1"/>
      <c r="E20" s="1"/>
      <c r="F20" s="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/>
  </sheetViews>
  <sheetFormatPr defaultRowHeight="13.5" x14ac:dyDescent="0.15"/>
  <sheetData>
    <row r="1" spans="1:15" ht="16.5" x14ac:dyDescent="0.35">
      <c r="A1" s="24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.5" x14ac:dyDescent="0.35">
      <c r="A2" s="12" t="s">
        <v>130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6.5" x14ac:dyDescent="0.35">
      <c r="A3" s="12" t="s">
        <v>131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6.5" x14ac:dyDescent="0.35">
      <c r="A4" s="12" t="s">
        <v>132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6.5" x14ac:dyDescent="0.35">
      <c r="A5" s="12" t="s">
        <v>133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6.5" x14ac:dyDescent="0.35">
      <c r="A6" s="12" t="s">
        <v>134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6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6.5" x14ac:dyDescent="0.35">
      <c r="A8" s="24" t="s">
        <v>135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6.5" x14ac:dyDescent="0.35">
      <c r="A9" s="22" t="s">
        <v>136</v>
      </c>
      <c r="B9" s="22" t="s">
        <v>137</v>
      </c>
      <c r="C9" s="22" t="s">
        <v>138</v>
      </c>
      <c r="D9" s="22" t="s">
        <v>139</v>
      </c>
      <c r="E9" s="22" t="s">
        <v>140</v>
      </c>
      <c r="F9" s="22" t="s">
        <v>141</v>
      </c>
      <c r="G9" s="22" t="s">
        <v>142</v>
      </c>
      <c r="H9" s="22" t="s">
        <v>143</v>
      </c>
      <c r="I9" s="22" t="s">
        <v>144</v>
      </c>
      <c r="J9" s="22" t="s">
        <v>145</v>
      </c>
      <c r="K9" s="22" t="s">
        <v>146</v>
      </c>
      <c r="L9" s="22" t="s">
        <v>147</v>
      </c>
      <c r="M9" s="22" t="s">
        <v>148</v>
      </c>
      <c r="N9" s="1"/>
      <c r="O9" s="1"/>
    </row>
    <row r="10" spans="1:15" ht="16.5" x14ac:dyDescent="0.35">
      <c r="A10" s="25" t="s">
        <v>149</v>
      </c>
      <c r="B10" s="22">
        <v>51250</v>
      </c>
      <c r="C10" s="22">
        <v>32500</v>
      </c>
      <c r="D10" s="22">
        <v>51250</v>
      </c>
      <c r="E10" s="22">
        <v>50000</v>
      </c>
      <c r="F10" s="22">
        <v>57500</v>
      </c>
      <c r="G10" s="22">
        <v>51250</v>
      </c>
      <c r="H10" s="22">
        <v>36250</v>
      </c>
      <c r="I10" s="22">
        <v>32500</v>
      </c>
      <c r="J10" s="22">
        <v>25000</v>
      </c>
      <c r="K10" s="22">
        <v>62500</v>
      </c>
      <c r="L10" s="22">
        <v>45000</v>
      </c>
      <c r="M10" s="22">
        <v>51250</v>
      </c>
      <c r="N10" s="1"/>
      <c r="O10" s="1">
        <f>MIN(B10:M10)</f>
        <v>25000</v>
      </c>
    </row>
    <row r="11" spans="1:15" ht="16.5" x14ac:dyDescent="0.35">
      <c r="A11" s="25" t="s">
        <v>150</v>
      </c>
      <c r="B11" s="22">
        <v>51250</v>
      </c>
      <c r="C11" s="22">
        <v>33750</v>
      </c>
      <c r="D11" s="22">
        <v>58750</v>
      </c>
      <c r="E11" s="22">
        <v>28750</v>
      </c>
      <c r="F11" s="22">
        <v>57500</v>
      </c>
      <c r="G11" s="22">
        <v>25000</v>
      </c>
      <c r="H11" s="22">
        <v>53750</v>
      </c>
      <c r="I11" s="22">
        <v>45000</v>
      </c>
      <c r="J11" s="22">
        <v>30000</v>
      </c>
      <c r="K11" s="22">
        <v>58750</v>
      </c>
      <c r="L11" s="22">
        <v>38750</v>
      </c>
      <c r="M11" s="22">
        <v>55000</v>
      </c>
      <c r="N11" s="1"/>
      <c r="O11" s="1">
        <f t="shared" ref="O11:O15" si="0">MIN(B11:M11)</f>
        <v>25000</v>
      </c>
    </row>
    <row r="12" spans="1:15" ht="16.5" x14ac:dyDescent="0.35">
      <c r="A12" s="25" t="s">
        <v>151</v>
      </c>
      <c r="B12" s="22">
        <v>32500</v>
      </c>
      <c r="C12" s="22">
        <v>43750</v>
      </c>
      <c r="D12" s="22">
        <v>56250</v>
      </c>
      <c r="E12" s="22">
        <v>25000</v>
      </c>
      <c r="F12" s="22">
        <v>40000</v>
      </c>
      <c r="G12" s="22">
        <v>48750</v>
      </c>
      <c r="H12" s="22">
        <v>40000</v>
      </c>
      <c r="I12" s="22">
        <v>36250</v>
      </c>
      <c r="J12" s="22">
        <v>33750</v>
      </c>
      <c r="K12" s="22">
        <v>42500</v>
      </c>
      <c r="L12" s="22">
        <v>25000</v>
      </c>
      <c r="M12" s="22">
        <v>26250</v>
      </c>
      <c r="N12" s="1"/>
      <c r="O12" s="1">
        <f t="shared" si="0"/>
        <v>25000</v>
      </c>
    </row>
    <row r="13" spans="1:15" ht="16.5" x14ac:dyDescent="0.35">
      <c r="A13" s="25" t="s">
        <v>152</v>
      </c>
      <c r="B13" s="22">
        <v>48750</v>
      </c>
      <c r="C13" s="22">
        <v>27500</v>
      </c>
      <c r="D13" s="22">
        <v>61250</v>
      </c>
      <c r="E13" s="22">
        <v>36250</v>
      </c>
      <c r="F13" s="22">
        <v>57500</v>
      </c>
      <c r="G13" s="22">
        <v>50000</v>
      </c>
      <c r="H13" s="22">
        <v>26250</v>
      </c>
      <c r="I13" s="22">
        <v>27500</v>
      </c>
      <c r="J13" s="22">
        <v>35000</v>
      </c>
      <c r="K13" s="22">
        <v>48750</v>
      </c>
      <c r="L13" s="22">
        <v>48750</v>
      </c>
      <c r="M13" s="22">
        <v>57500</v>
      </c>
      <c r="N13" s="1"/>
      <c r="O13" s="1">
        <f t="shared" si="0"/>
        <v>26250</v>
      </c>
    </row>
    <row r="14" spans="1:15" ht="16.5" x14ac:dyDescent="0.35">
      <c r="A14" s="25" t="s">
        <v>153</v>
      </c>
      <c r="B14" s="22">
        <v>33750</v>
      </c>
      <c r="C14" s="22">
        <v>40000</v>
      </c>
      <c r="D14" s="22">
        <v>55000</v>
      </c>
      <c r="E14" s="22">
        <v>60000</v>
      </c>
      <c r="F14" s="22">
        <v>27500</v>
      </c>
      <c r="G14" s="22">
        <v>46250</v>
      </c>
      <c r="H14" s="22">
        <v>55000</v>
      </c>
      <c r="I14" s="22">
        <v>47500</v>
      </c>
      <c r="J14" s="22">
        <v>35000</v>
      </c>
      <c r="K14" s="22">
        <v>52500</v>
      </c>
      <c r="L14" s="22">
        <v>35000</v>
      </c>
      <c r="M14" s="22">
        <v>51250</v>
      </c>
      <c r="N14" s="1"/>
      <c r="O14" s="1">
        <f t="shared" si="0"/>
        <v>27500</v>
      </c>
    </row>
    <row r="15" spans="1:15" ht="16.5" x14ac:dyDescent="0.35">
      <c r="A15" s="25" t="s">
        <v>154</v>
      </c>
      <c r="B15" s="22">
        <v>53750</v>
      </c>
      <c r="C15" s="22">
        <v>61250</v>
      </c>
      <c r="D15" s="22">
        <v>53750</v>
      </c>
      <c r="E15" s="22">
        <v>57500</v>
      </c>
      <c r="F15" s="22">
        <v>28750</v>
      </c>
      <c r="G15" s="22">
        <v>53750</v>
      </c>
      <c r="H15" s="22">
        <v>47500</v>
      </c>
      <c r="I15" s="22">
        <v>57500</v>
      </c>
      <c r="J15" s="22">
        <v>55000</v>
      </c>
      <c r="K15" s="22">
        <v>55000</v>
      </c>
      <c r="L15" s="22">
        <v>46250</v>
      </c>
      <c r="M15" s="22">
        <v>33750</v>
      </c>
      <c r="N15" s="1"/>
      <c r="O15" s="1">
        <f t="shared" si="0"/>
        <v>28750</v>
      </c>
    </row>
    <row r="16" spans="1:15" x14ac:dyDescent="0.15">
      <c r="B16">
        <f>SUM(B10:B15)</f>
        <v>271250</v>
      </c>
    </row>
    <row r="17" spans="2:2" x14ac:dyDescent="0.15">
      <c r="B17">
        <f>MAX(B10:B15)</f>
        <v>53750</v>
      </c>
    </row>
    <row r="18" spans="2:2" x14ac:dyDescent="0.15">
      <c r="B18">
        <f>MIN(B10:B15)</f>
        <v>32500</v>
      </c>
    </row>
    <row r="19" spans="2:2" x14ac:dyDescent="0.15">
      <c r="B19">
        <f>AVERAGE(B10:B15)</f>
        <v>45208.333333333336</v>
      </c>
    </row>
    <row r="20" spans="2:2" x14ac:dyDescent="0.15">
      <c r="B20">
        <f>COUNT(B10:B15)</f>
        <v>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3.5" x14ac:dyDescent="0.15"/>
  <sheetData>
    <row r="1" spans="1:8" ht="16.5" x14ac:dyDescent="0.35">
      <c r="A1" s="22" t="s">
        <v>136</v>
      </c>
      <c r="B1" s="22" t="s">
        <v>155</v>
      </c>
      <c r="C1" s="22" t="s">
        <v>156</v>
      </c>
      <c r="D1" s="1"/>
      <c r="E1" s="1" t="s">
        <v>157</v>
      </c>
      <c r="F1" s="1"/>
      <c r="G1" s="1"/>
      <c r="H1" s="1"/>
    </row>
    <row r="2" spans="1:8" ht="16.5" x14ac:dyDescent="0.35">
      <c r="A2" s="22" t="s">
        <v>158</v>
      </c>
      <c r="B2" s="22" t="s">
        <v>159</v>
      </c>
      <c r="C2" s="22">
        <v>44</v>
      </c>
      <c r="D2" s="1" t="str">
        <f>IF(C2&gt;=40,"达标","不达标")</f>
        <v>达标</v>
      </c>
      <c r="E2" s="1"/>
      <c r="F2" s="1"/>
      <c r="G2" s="1"/>
      <c r="H2" s="1"/>
    </row>
    <row r="3" spans="1:8" ht="16.5" x14ac:dyDescent="0.35">
      <c r="A3" s="22" t="s">
        <v>160</v>
      </c>
      <c r="B3" s="22" t="s">
        <v>161</v>
      </c>
      <c r="C3" s="22">
        <v>47</v>
      </c>
      <c r="D3" s="1" t="str">
        <f t="shared" ref="D3:D11" si="0">IF(C3&gt;=40,"达标","不达标")</f>
        <v>达标</v>
      </c>
      <c r="E3" s="1"/>
      <c r="F3" s="1"/>
      <c r="G3" s="1"/>
      <c r="H3" s="1"/>
    </row>
    <row r="4" spans="1:8" ht="16.5" x14ac:dyDescent="0.35">
      <c r="A4" s="22" t="s">
        <v>160</v>
      </c>
      <c r="B4" s="22" t="s">
        <v>159</v>
      </c>
      <c r="C4" s="22">
        <v>39</v>
      </c>
      <c r="D4" s="1" t="str">
        <f t="shared" si="0"/>
        <v>不达标</v>
      </c>
      <c r="E4" s="1"/>
      <c r="F4" s="1"/>
      <c r="G4" s="1"/>
      <c r="H4" s="1"/>
    </row>
    <row r="5" spans="1:8" ht="16.5" x14ac:dyDescent="0.35">
      <c r="A5" s="22" t="s">
        <v>158</v>
      </c>
      <c r="B5" s="22" t="s">
        <v>162</v>
      </c>
      <c r="C5" s="22">
        <v>27</v>
      </c>
      <c r="D5" s="1" t="str">
        <f t="shared" si="0"/>
        <v>不达标</v>
      </c>
      <c r="E5" s="1"/>
      <c r="F5" s="1"/>
      <c r="G5" s="1"/>
      <c r="H5" s="1"/>
    </row>
    <row r="6" spans="1:8" ht="16.5" x14ac:dyDescent="0.35">
      <c r="A6" s="22" t="s">
        <v>163</v>
      </c>
      <c r="B6" s="22" t="s">
        <v>164</v>
      </c>
      <c r="C6" s="22">
        <v>37</v>
      </c>
      <c r="D6" s="1" t="str">
        <f t="shared" si="0"/>
        <v>不达标</v>
      </c>
      <c r="E6" s="1"/>
      <c r="F6" s="1"/>
      <c r="G6" s="1"/>
      <c r="H6" s="1"/>
    </row>
    <row r="7" spans="1:8" ht="16.5" x14ac:dyDescent="0.35">
      <c r="A7" s="22" t="s">
        <v>163</v>
      </c>
      <c r="B7" s="22" t="s">
        <v>162</v>
      </c>
      <c r="C7" s="22">
        <v>72</v>
      </c>
      <c r="D7" s="1" t="str">
        <f t="shared" si="0"/>
        <v>达标</v>
      </c>
      <c r="E7" s="1"/>
      <c r="F7" s="1"/>
      <c r="G7" s="1"/>
      <c r="H7" s="1"/>
    </row>
    <row r="8" spans="1:8" ht="16.5" x14ac:dyDescent="0.35">
      <c r="A8" s="22" t="s">
        <v>163</v>
      </c>
      <c r="B8" s="22" t="s">
        <v>165</v>
      </c>
      <c r="C8" s="22">
        <v>45</v>
      </c>
      <c r="D8" s="1" t="str">
        <f t="shared" si="0"/>
        <v>达标</v>
      </c>
      <c r="E8" s="1"/>
      <c r="F8" s="1"/>
      <c r="G8" s="1"/>
      <c r="H8" s="1"/>
    </row>
    <row r="9" spans="1:8" ht="16.5" x14ac:dyDescent="0.35">
      <c r="A9" s="22" t="s">
        <v>163</v>
      </c>
      <c r="B9" s="22" t="s">
        <v>166</v>
      </c>
      <c r="C9" s="22">
        <v>57</v>
      </c>
      <c r="D9" s="1" t="str">
        <f t="shared" si="0"/>
        <v>达标</v>
      </c>
      <c r="E9" s="1"/>
      <c r="F9" s="1"/>
      <c r="G9" s="1"/>
      <c r="H9" s="1"/>
    </row>
    <row r="10" spans="1:8" ht="16.5" x14ac:dyDescent="0.35">
      <c r="A10" s="22" t="s">
        <v>163</v>
      </c>
      <c r="B10" s="22" t="s">
        <v>165</v>
      </c>
      <c r="C10" s="22">
        <v>22</v>
      </c>
      <c r="D10" s="1" t="str">
        <f t="shared" si="0"/>
        <v>不达标</v>
      </c>
      <c r="E10" s="1"/>
      <c r="F10" s="1"/>
      <c r="G10" s="1"/>
      <c r="H10" s="1"/>
    </row>
    <row r="11" spans="1:8" ht="16.5" x14ac:dyDescent="0.35">
      <c r="A11" s="22" t="s">
        <v>163</v>
      </c>
      <c r="B11" s="22" t="s">
        <v>167</v>
      </c>
      <c r="C11" s="22">
        <v>61</v>
      </c>
      <c r="D11" s="1" t="str">
        <f t="shared" si="0"/>
        <v>达标</v>
      </c>
      <c r="E11" s="1"/>
      <c r="F11" s="1"/>
      <c r="G11" s="1"/>
      <c r="H11" s="1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0"/>
  <sheetViews>
    <sheetView tabSelected="1" topLeftCell="D1" workbookViewId="0">
      <selection activeCell="K9" sqref="K9"/>
    </sheetView>
  </sheetViews>
  <sheetFormatPr defaultRowHeight="13.5" x14ac:dyDescent="0.15"/>
  <sheetData>
    <row r="1" spans="1:24" ht="16.5" x14ac:dyDescent="0.35">
      <c r="A1" s="24" t="s">
        <v>168</v>
      </c>
      <c r="B1" s="1"/>
      <c r="C1" s="1"/>
      <c r="D1" s="1" t="s">
        <v>189</v>
      </c>
      <c r="F1" t="s">
        <v>192</v>
      </c>
      <c r="Q1">
        <v>6</v>
      </c>
      <c r="R1">
        <v>2</v>
      </c>
      <c r="S1">
        <v>10</v>
      </c>
      <c r="T1">
        <v>10</v>
      </c>
      <c r="U1">
        <v>8</v>
      </c>
      <c r="V1">
        <v>5</v>
      </c>
      <c r="W1">
        <v>5</v>
      </c>
      <c r="X1">
        <v>1</v>
      </c>
    </row>
    <row r="2" spans="1:24" ht="16.5" x14ac:dyDescent="0.35">
      <c r="A2" s="24"/>
      <c r="B2" s="1"/>
      <c r="C2" s="1"/>
      <c r="D2" s="1"/>
      <c r="E2" t="s">
        <v>190</v>
      </c>
      <c r="I2" t="s">
        <v>217</v>
      </c>
      <c r="Q2">
        <v>9</v>
      </c>
      <c r="R2">
        <v>6</v>
      </c>
      <c r="S2">
        <v>1</v>
      </c>
      <c r="T2">
        <v>3</v>
      </c>
      <c r="U2">
        <v>2</v>
      </c>
      <c r="V2">
        <v>2</v>
      </c>
      <c r="W2">
        <v>4</v>
      </c>
      <c r="X2">
        <v>3</v>
      </c>
    </row>
    <row r="3" spans="1:24" ht="16.5" x14ac:dyDescent="0.35">
      <c r="A3" s="26" t="s">
        <v>47</v>
      </c>
      <c r="B3" s="26" t="s">
        <v>169</v>
      </c>
      <c r="C3" s="22" t="s">
        <v>170</v>
      </c>
      <c r="D3" s="1"/>
      <c r="E3" t="s">
        <v>191</v>
      </c>
      <c r="I3" s="20" t="s">
        <v>194</v>
      </c>
      <c r="J3" s="1"/>
      <c r="K3" s="1"/>
      <c r="L3" s="1"/>
      <c r="M3" s="1"/>
      <c r="Q3">
        <v>3</v>
      </c>
      <c r="R3">
        <v>3</v>
      </c>
      <c r="S3">
        <v>4</v>
      </c>
      <c r="T3">
        <v>6</v>
      </c>
      <c r="U3">
        <v>4</v>
      </c>
      <c r="V3">
        <v>3</v>
      </c>
      <c r="W3">
        <v>3</v>
      </c>
      <c r="X3">
        <v>1</v>
      </c>
    </row>
    <row r="4" spans="1:24" ht="16.5" x14ac:dyDescent="0.35">
      <c r="A4" s="26" t="s">
        <v>27</v>
      </c>
      <c r="B4" s="26" t="s">
        <v>171</v>
      </c>
      <c r="C4" s="22">
        <v>88</v>
      </c>
      <c r="D4" s="1"/>
      <c r="I4" s="12" t="s">
        <v>195</v>
      </c>
      <c r="J4" s="1"/>
      <c r="K4" s="1"/>
      <c r="L4" s="1"/>
      <c r="M4" s="1"/>
      <c r="Q4">
        <v>5</v>
      </c>
      <c r="R4">
        <v>9</v>
      </c>
      <c r="S4">
        <v>3</v>
      </c>
      <c r="T4">
        <v>8</v>
      </c>
      <c r="U4">
        <v>2</v>
      </c>
      <c r="V4">
        <v>10</v>
      </c>
      <c r="W4">
        <v>4</v>
      </c>
      <c r="X4">
        <v>6</v>
      </c>
    </row>
    <row r="5" spans="1:24" ht="16.5" x14ac:dyDescent="0.35">
      <c r="A5" s="26" t="s">
        <v>172</v>
      </c>
      <c r="B5" s="26" t="s">
        <v>173</v>
      </c>
      <c r="C5" s="22">
        <v>84</v>
      </c>
      <c r="D5" s="1"/>
      <c r="E5" t="s">
        <v>193</v>
      </c>
      <c r="I5" s="12" t="s">
        <v>196</v>
      </c>
      <c r="J5" s="1"/>
      <c r="K5" s="1"/>
      <c r="L5" s="1"/>
      <c r="M5" s="1"/>
      <c r="Q5">
        <v>9</v>
      </c>
      <c r="R5">
        <v>7</v>
      </c>
      <c r="S5">
        <v>3</v>
      </c>
      <c r="T5">
        <v>2</v>
      </c>
      <c r="U5">
        <v>10</v>
      </c>
      <c r="V5">
        <v>5</v>
      </c>
      <c r="W5">
        <v>9</v>
      </c>
      <c r="X5">
        <v>4</v>
      </c>
    </row>
    <row r="6" spans="1:24" ht="16.5" x14ac:dyDescent="0.35">
      <c r="A6" s="26" t="s">
        <v>174</v>
      </c>
      <c r="B6" s="26" t="s">
        <v>171</v>
      </c>
      <c r="C6" s="22">
        <v>92</v>
      </c>
      <c r="D6" s="1"/>
      <c r="I6" s="20" t="s">
        <v>197</v>
      </c>
      <c r="J6" s="1"/>
      <c r="K6" s="1"/>
      <c r="L6" s="1"/>
      <c r="M6" s="1"/>
      <c r="Q6">
        <v>6</v>
      </c>
      <c r="R6">
        <v>3</v>
      </c>
      <c r="S6">
        <v>10</v>
      </c>
      <c r="T6">
        <v>6</v>
      </c>
      <c r="U6">
        <v>4</v>
      </c>
      <c r="V6">
        <v>5</v>
      </c>
      <c r="W6">
        <v>10</v>
      </c>
      <c r="X6">
        <v>5</v>
      </c>
    </row>
    <row r="7" spans="1:24" ht="16.5" x14ac:dyDescent="0.35">
      <c r="A7" s="26" t="s">
        <v>175</v>
      </c>
      <c r="B7" s="26" t="s">
        <v>171</v>
      </c>
      <c r="C7" s="22">
        <v>90</v>
      </c>
      <c r="D7" s="1"/>
      <c r="I7" s="12" t="s">
        <v>198</v>
      </c>
      <c r="J7" s="1"/>
      <c r="K7" s="1"/>
      <c r="L7" s="1"/>
      <c r="M7" s="1"/>
      <c r="Q7">
        <v>6</v>
      </c>
      <c r="R7">
        <v>8</v>
      </c>
      <c r="S7">
        <v>6</v>
      </c>
      <c r="T7">
        <v>1</v>
      </c>
      <c r="U7">
        <v>2</v>
      </c>
      <c r="V7">
        <v>10</v>
      </c>
      <c r="W7">
        <v>2</v>
      </c>
      <c r="X7">
        <v>7</v>
      </c>
    </row>
    <row r="8" spans="1:24" ht="16.5" x14ac:dyDescent="0.35">
      <c r="A8" s="26" t="s">
        <v>176</v>
      </c>
      <c r="B8" s="26" t="s">
        <v>177</v>
      </c>
      <c r="C8" s="22">
        <v>86</v>
      </c>
      <c r="D8" s="1"/>
      <c r="I8" s="12" t="s">
        <v>199</v>
      </c>
      <c r="J8" s="1"/>
      <c r="K8" s="1"/>
      <c r="L8" s="1"/>
      <c r="M8" s="1"/>
      <c r="Q8">
        <v>7</v>
      </c>
      <c r="R8">
        <v>8</v>
      </c>
      <c r="S8">
        <v>9</v>
      </c>
      <c r="T8">
        <v>2</v>
      </c>
      <c r="U8">
        <v>3</v>
      </c>
      <c r="V8">
        <v>3</v>
      </c>
      <c r="W8">
        <v>6</v>
      </c>
      <c r="X8">
        <v>8</v>
      </c>
    </row>
    <row r="9" spans="1:24" ht="16.5" x14ac:dyDescent="0.35">
      <c r="A9" s="26" t="s">
        <v>178</v>
      </c>
      <c r="B9" s="26" t="s">
        <v>171</v>
      </c>
      <c r="C9" s="22">
        <v>89</v>
      </c>
      <c r="D9" s="1"/>
      <c r="I9" s="20" t="s">
        <v>200</v>
      </c>
      <c r="J9" s="1"/>
      <c r="K9" s="1"/>
      <c r="L9" s="1"/>
      <c r="M9" s="1"/>
      <c r="Q9">
        <v>8</v>
      </c>
      <c r="R9">
        <v>2</v>
      </c>
      <c r="S9">
        <v>10</v>
      </c>
      <c r="T9">
        <v>7</v>
      </c>
      <c r="U9">
        <v>3</v>
      </c>
      <c r="V9">
        <v>10</v>
      </c>
      <c r="W9">
        <v>10</v>
      </c>
      <c r="X9">
        <v>9</v>
      </c>
    </row>
    <row r="10" spans="1:24" ht="16.5" x14ac:dyDescent="0.35">
      <c r="A10" s="27"/>
      <c r="B10" s="28"/>
      <c r="C10" s="1"/>
      <c r="D10" s="1"/>
      <c r="I10" s="12" t="s">
        <v>201</v>
      </c>
      <c r="J10" s="1">
        <v>9</v>
      </c>
      <c r="K10" s="1"/>
      <c r="L10" s="1"/>
      <c r="M10" s="1"/>
      <c r="Q10">
        <v>8</v>
      </c>
      <c r="R10">
        <v>7</v>
      </c>
      <c r="S10">
        <v>9</v>
      </c>
      <c r="T10">
        <v>1</v>
      </c>
      <c r="U10">
        <v>1</v>
      </c>
      <c r="V10">
        <v>3</v>
      </c>
      <c r="W10">
        <v>5</v>
      </c>
      <c r="X10">
        <v>4</v>
      </c>
    </row>
    <row r="11" spans="1:24" ht="16.5" x14ac:dyDescent="0.35">
      <c r="A11" s="1"/>
      <c r="B11" s="1"/>
      <c r="C11" s="1"/>
      <c r="D11" s="1"/>
      <c r="I11" s="12" t="s">
        <v>202</v>
      </c>
      <c r="J11" s="1">
        <f>1+9</f>
        <v>10</v>
      </c>
      <c r="K11" s="1"/>
      <c r="L11" s="1"/>
      <c r="M11" s="1"/>
      <c r="Q11">
        <v>7</v>
      </c>
      <c r="R11">
        <v>9</v>
      </c>
      <c r="S11">
        <v>8</v>
      </c>
      <c r="T11">
        <v>7</v>
      </c>
      <c r="U11">
        <v>6</v>
      </c>
      <c r="V11">
        <v>6</v>
      </c>
      <c r="W11">
        <v>4</v>
      </c>
      <c r="X11">
        <v>7</v>
      </c>
    </row>
    <row r="12" spans="1:24" ht="16.5" x14ac:dyDescent="0.35">
      <c r="A12" s="24" t="s">
        <v>179</v>
      </c>
      <c r="B12" s="1"/>
      <c r="C12" s="1"/>
      <c r="D12" s="1"/>
      <c r="I12" s="12" t="s">
        <v>203</v>
      </c>
      <c r="J12" s="1"/>
      <c r="K12" s="1"/>
      <c r="L12" s="1"/>
      <c r="M12" s="1"/>
      <c r="Q12">
        <v>6</v>
      </c>
      <c r="R12">
        <v>10</v>
      </c>
      <c r="S12">
        <v>3</v>
      </c>
      <c r="T12">
        <v>2</v>
      </c>
      <c r="U12">
        <v>3</v>
      </c>
      <c r="V12">
        <v>9</v>
      </c>
      <c r="W12">
        <v>6</v>
      </c>
      <c r="X12">
        <v>5</v>
      </c>
    </row>
    <row r="13" spans="1:24" ht="16.5" x14ac:dyDescent="0.35">
      <c r="A13" s="26" t="s">
        <v>47</v>
      </c>
      <c r="B13" s="26" t="s">
        <v>169</v>
      </c>
      <c r="C13" s="1"/>
      <c r="D13" s="1"/>
      <c r="I13" s="20" t="s">
        <v>204</v>
      </c>
      <c r="J13" s="1"/>
      <c r="K13" s="1"/>
      <c r="L13" s="1"/>
      <c r="M13" s="1"/>
      <c r="Q13">
        <v>3</v>
      </c>
      <c r="R13">
        <v>2</v>
      </c>
      <c r="S13">
        <v>9</v>
      </c>
      <c r="T13">
        <v>9</v>
      </c>
      <c r="U13">
        <v>10</v>
      </c>
      <c r="V13">
        <v>5</v>
      </c>
      <c r="W13">
        <v>1</v>
      </c>
      <c r="X13">
        <v>8</v>
      </c>
    </row>
    <row r="14" spans="1:24" ht="16.5" x14ac:dyDescent="0.35">
      <c r="A14" s="26" t="s">
        <v>27</v>
      </c>
      <c r="B14" s="26" t="s">
        <v>180</v>
      </c>
      <c r="C14" s="1"/>
      <c r="D14" s="1"/>
      <c r="I14" s="12" t="s">
        <v>205</v>
      </c>
      <c r="J14" s="1" t="s">
        <v>206</v>
      </c>
      <c r="K14" s="1" t="s">
        <v>207</v>
      </c>
      <c r="L14" s="1" t="s">
        <v>208</v>
      </c>
      <c r="M14" s="1"/>
      <c r="Q14">
        <v>4</v>
      </c>
      <c r="R14">
        <v>8</v>
      </c>
      <c r="S14">
        <v>1</v>
      </c>
      <c r="T14">
        <v>9</v>
      </c>
      <c r="U14">
        <v>9</v>
      </c>
      <c r="V14">
        <v>3</v>
      </c>
      <c r="W14">
        <v>2</v>
      </c>
      <c r="X14">
        <v>2</v>
      </c>
    </row>
    <row r="15" spans="1:24" ht="16.5" x14ac:dyDescent="0.35">
      <c r="A15" s="26" t="s">
        <v>172</v>
      </c>
      <c r="B15" s="26" t="s">
        <v>181</v>
      </c>
      <c r="C15" s="1"/>
      <c r="D15" s="1"/>
      <c r="I15" s="12" t="s">
        <v>209</v>
      </c>
      <c r="J15" s="1" t="s">
        <v>210</v>
      </c>
      <c r="K15" s="1" t="s">
        <v>208</v>
      </c>
      <c r="L15" s="1" t="s">
        <v>211</v>
      </c>
      <c r="M15" s="1"/>
    </row>
    <row r="16" spans="1:24" ht="16.5" x14ac:dyDescent="0.35">
      <c r="A16" s="26" t="s">
        <v>182</v>
      </c>
      <c r="B16" s="26" t="s">
        <v>171</v>
      </c>
      <c r="C16" s="1"/>
      <c r="D16" s="1"/>
      <c r="I16" s="12" t="s">
        <v>212</v>
      </c>
      <c r="J16" s="1" t="s">
        <v>159</v>
      </c>
      <c r="K16" s="1" t="s">
        <v>213</v>
      </c>
      <c r="L16" s="1" t="s">
        <v>214</v>
      </c>
      <c r="M16" s="1" t="s">
        <v>215</v>
      </c>
    </row>
    <row r="17" spans="1:15" ht="16.5" x14ac:dyDescent="0.35">
      <c r="A17" s="26" t="s">
        <v>183</v>
      </c>
      <c r="B17" s="26" t="s">
        <v>171</v>
      </c>
      <c r="C17" s="1"/>
      <c r="D17" s="1"/>
      <c r="I17" s="1"/>
      <c r="J17" s="1"/>
      <c r="K17" s="1"/>
      <c r="L17" s="1"/>
      <c r="M17" s="1"/>
    </row>
    <row r="18" spans="1:15" ht="16.5" x14ac:dyDescent="0.35">
      <c r="A18" s="26" t="s">
        <v>176</v>
      </c>
      <c r="B18" s="26" t="s">
        <v>177</v>
      </c>
      <c r="C18" s="1"/>
      <c r="D18" s="1"/>
      <c r="I18" s="1"/>
      <c r="J18" s="1" t="s">
        <v>216</v>
      </c>
      <c r="K18" s="1"/>
      <c r="L18" s="1"/>
      <c r="M18" s="1"/>
    </row>
    <row r="19" spans="1:15" ht="16.5" x14ac:dyDescent="0.35">
      <c r="A19" s="26" t="s">
        <v>184</v>
      </c>
      <c r="B19" s="26" t="s">
        <v>171</v>
      </c>
      <c r="C19" s="1"/>
      <c r="D19" s="1"/>
    </row>
    <row r="20" spans="1:15" ht="16.5" x14ac:dyDescent="0.35">
      <c r="A20" s="1"/>
      <c r="B20" s="1"/>
      <c r="C20" s="1"/>
      <c r="D20" s="1"/>
    </row>
    <row r="21" spans="1:15" ht="16.5" x14ac:dyDescent="0.35">
      <c r="A21" s="1"/>
      <c r="B21" s="1"/>
      <c r="C21" s="1"/>
      <c r="D21" s="1"/>
      <c r="I21" s="22" t="s">
        <v>218</v>
      </c>
      <c r="J21" s="22" t="s">
        <v>219</v>
      </c>
      <c r="K21" s="22" t="s">
        <v>138</v>
      </c>
      <c r="L21" s="22" t="s">
        <v>139</v>
      </c>
      <c r="M21" s="22" t="s">
        <v>140</v>
      </c>
      <c r="N21" s="22" t="s">
        <v>141</v>
      </c>
      <c r="O21" s="22" t="s">
        <v>142</v>
      </c>
    </row>
    <row r="22" spans="1:15" ht="16.5" x14ac:dyDescent="0.35">
      <c r="A22" s="1"/>
      <c r="B22" s="1"/>
      <c r="C22" s="1"/>
      <c r="D22" s="1"/>
      <c r="I22" s="22" t="s">
        <v>220</v>
      </c>
      <c r="J22" s="22">
        <v>6600</v>
      </c>
      <c r="K22" s="22">
        <v>10440</v>
      </c>
      <c r="L22" s="22">
        <v>6360</v>
      </c>
      <c r="M22" s="22">
        <v>8520</v>
      </c>
      <c r="N22" s="22">
        <v>6600</v>
      </c>
      <c r="O22" s="22">
        <v>7320</v>
      </c>
    </row>
    <row r="23" spans="1:15" ht="16.5" x14ac:dyDescent="0.35">
      <c r="A23" s="24" t="s">
        <v>185</v>
      </c>
      <c r="B23" s="1"/>
      <c r="C23" s="1"/>
      <c r="D23" s="1"/>
      <c r="I23" s="22" t="s">
        <v>221</v>
      </c>
      <c r="J23" s="22">
        <v>7440</v>
      </c>
      <c r="K23" s="22">
        <v>8400</v>
      </c>
      <c r="L23" s="22">
        <v>9000</v>
      </c>
      <c r="M23" s="22">
        <v>6840</v>
      </c>
      <c r="N23" s="22">
        <v>7320</v>
      </c>
      <c r="O23" s="22">
        <v>7440</v>
      </c>
    </row>
    <row r="24" spans="1:15" ht="16.5" x14ac:dyDescent="0.35">
      <c r="A24" s="26" t="s">
        <v>47</v>
      </c>
      <c r="B24" s="26" t="s">
        <v>169</v>
      </c>
      <c r="C24" s="1"/>
      <c r="D24" s="1"/>
      <c r="I24" s="22" t="s">
        <v>222</v>
      </c>
      <c r="J24" s="22">
        <v>7680</v>
      </c>
      <c r="K24" s="22">
        <v>8160</v>
      </c>
      <c r="L24" s="22">
        <v>9120</v>
      </c>
      <c r="M24" s="22">
        <v>6360</v>
      </c>
      <c r="N24" s="22">
        <v>10080</v>
      </c>
      <c r="O24" s="22">
        <v>8280</v>
      </c>
    </row>
    <row r="25" spans="1:15" ht="16.5" x14ac:dyDescent="0.35">
      <c r="A25" s="29" t="s">
        <v>27</v>
      </c>
      <c r="B25" s="29" t="s">
        <v>171</v>
      </c>
      <c r="C25" s="1"/>
      <c r="D25" s="1"/>
      <c r="I25" s="22" t="s">
        <v>223</v>
      </c>
      <c r="J25" s="22">
        <v>7680</v>
      </c>
      <c r="K25" s="22">
        <v>8880</v>
      </c>
      <c r="L25" s="22">
        <v>6840</v>
      </c>
      <c r="M25" s="22">
        <v>6480</v>
      </c>
      <c r="N25" s="22">
        <v>6360</v>
      </c>
      <c r="O25" s="22">
        <v>10560</v>
      </c>
    </row>
    <row r="26" spans="1:15" ht="16.5" x14ac:dyDescent="0.35">
      <c r="A26" s="26" t="s">
        <v>186</v>
      </c>
      <c r="B26" s="26" t="s">
        <v>187</v>
      </c>
      <c r="C26" s="1"/>
      <c r="D26" s="1"/>
    </row>
    <row r="27" spans="1:15" ht="16.5" x14ac:dyDescent="0.35">
      <c r="A27" s="26" t="s">
        <v>174</v>
      </c>
      <c r="B27" s="26" t="s">
        <v>171</v>
      </c>
      <c r="C27" s="1"/>
      <c r="D27" s="1"/>
    </row>
    <row r="28" spans="1:15" ht="16.5" x14ac:dyDescent="0.35">
      <c r="A28" s="29" t="s">
        <v>183</v>
      </c>
      <c r="B28" s="29" t="s">
        <v>171</v>
      </c>
      <c r="C28" s="1"/>
      <c r="D28" s="1"/>
    </row>
    <row r="29" spans="1:15" ht="16.5" x14ac:dyDescent="0.35">
      <c r="A29" s="26" t="s">
        <v>176</v>
      </c>
      <c r="B29" s="26" t="s">
        <v>188</v>
      </c>
      <c r="C29" s="1"/>
      <c r="D29" s="1"/>
    </row>
    <row r="30" spans="1:15" ht="16.5" x14ac:dyDescent="0.35">
      <c r="A30" s="30" t="s">
        <v>184</v>
      </c>
      <c r="B30" s="29" t="s">
        <v>187</v>
      </c>
      <c r="C30" s="1"/>
      <c r="D30" s="1"/>
    </row>
  </sheetData>
  <phoneticPr fontId="3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8" sqref="J18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2017-04-10T14:01:30Z</dcterms:modified>
</cp:coreProperties>
</file>