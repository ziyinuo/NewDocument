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365" yWindow="105" windowWidth="14805" windowHeight="8010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_xlnm._FilterDatabase" localSheetId="6" hidden="1">Sheet7!$A$7:$F$18</definedName>
  </definedNames>
  <calcPr calcId="152511"/>
</workbook>
</file>

<file path=xl/calcChain.xml><?xml version="1.0" encoding="utf-8"?>
<calcChain xmlns="http://schemas.openxmlformats.org/spreadsheetml/2006/main">
  <c r="A32" i="7" l="1"/>
  <c r="A33" i="7" s="1"/>
  <c r="A35" i="7"/>
  <c r="A37" i="7"/>
  <c r="A39" i="7"/>
  <c r="A40" i="7" s="1"/>
  <c r="A41" i="7" s="1"/>
  <c r="J45" i="8"/>
  <c r="J44" i="8"/>
  <c r="J43" i="8"/>
  <c r="J42" i="8"/>
  <c r="J41" i="8"/>
  <c r="J40" i="8"/>
  <c r="J39" i="8"/>
  <c r="J38" i="8"/>
  <c r="J37" i="8"/>
  <c r="D39" i="7"/>
  <c r="D40" i="7" s="1"/>
  <c r="D41" i="7" s="1"/>
  <c r="D37" i="7"/>
  <c r="D35" i="7"/>
  <c r="D32" i="7"/>
  <c r="D33" i="7" s="1"/>
  <c r="F18" i="7"/>
  <c r="F17" i="7"/>
  <c r="F16" i="7"/>
  <c r="F15" i="7"/>
  <c r="F14" i="7"/>
  <c r="F13" i="7"/>
  <c r="F12" i="7"/>
  <c r="F11" i="7"/>
  <c r="F10" i="7"/>
  <c r="F9" i="7"/>
  <c r="F8" i="7"/>
  <c r="G33" i="6" l="1"/>
  <c r="D33" i="6"/>
  <c r="G32" i="6"/>
  <c r="D32" i="6"/>
  <c r="G31" i="6"/>
  <c r="D31" i="6"/>
  <c r="G30" i="6"/>
  <c r="D30" i="6"/>
  <c r="G29" i="6"/>
  <c r="D29" i="6"/>
  <c r="G28" i="6"/>
  <c r="D28" i="6"/>
  <c r="G27" i="6"/>
  <c r="D27" i="6"/>
  <c r="G26" i="6"/>
  <c r="D26" i="6"/>
  <c r="G25" i="6"/>
  <c r="D25" i="6"/>
  <c r="G24" i="6"/>
  <c r="D24" i="6"/>
  <c r="G23" i="6"/>
  <c r="D23" i="6"/>
  <c r="G22" i="6"/>
  <c r="D22" i="6"/>
  <c r="G14" i="6"/>
  <c r="D14" i="6"/>
  <c r="G13" i="6"/>
  <c r="D13" i="6"/>
  <c r="G12" i="6"/>
  <c r="D12" i="6"/>
  <c r="G11" i="6"/>
  <c r="D11" i="6"/>
  <c r="G10" i="6"/>
  <c r="D10" i="6"/>
  <c r="G9" i="6"/>
  <c r="D9" i="6"/>
  <c r="G8" i="6"/>
  <c r="D8" i="6"/>
  <c r="G7" i="6"/>
  <c r="D7" i="6"/>
  <c r="G6" i="6"/>
  <c r="D6" i="6"/>
  <c r="G5" i="6"/>
  <c r="D5" i="6"/>
  <c r="G4" i="6"/>
  <c r="D4" i="6"/>
  <c r="G3" i="6"/>
  <c r="D3" i="6"/>
  <c r="D9" i="5"/>
  <c r="E9" i="5" s="1"/>
  <c r="D8" i="5"/>
  <c r="E8" i="5" s="1"/>
  <c r="D7" i="5"/>
  <c r="E7" i="5" s="1"/>
  <c r="D6" i="5"/>
  <c r="E6" i="5" s="1"/>
  <c r="D5" i="5"/>
  <c r="E5" i="5" s="1"/>
  <c r="C33" i="4" l="1"/>
  <c r="C7" i="4"/>
  <c r="C12" i="4"/>
  <c r="C16" i="4"/>
  <c r="C24" i="4"/>
  <c r="C28" i="4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B21" i="1" l="1" a="1"/>
  <c r="E21" i="1" s="1"/>
  <c r="C21" i="1" l="1"/>
  <c r="D21" i="1"/>
  <c r="B21" i="1"/>
</calcChain>
</file>

<file path=xl/sharedStrings.xml><?xml version="1.0" encoding="utf-8"?>
<sst xmlns="http://schemas.openxmlformats.org/spreadsheetml/2006/main" count="487" uniqueCount="151">
  <si>
    <t>1.当前区域</t>
    <phoneticPr fontId="2" type="noConversion"/>
  </si>
  <si>
    <t>2.当前数组</t>
    <phoneticPr fontId="2" type="noConversion"/>
  </si>
  <si>
    <t>姓名</t>
    <phoneticPr fontId="2" type="noConversion"/>
  </si>
  <si>
    <t>分数1</t>
    <phoneticPr fontId="2" type="noConversion"/>
  </si>
  <si>
    <t>分数2</t>
  </si>
  <si>
    <t>分数3</t>
  </si>
  <si>
    <t>分数4</t>
  </si>
  <si>
    <t>A1</t>
    <phoneticPr fontId="2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</si>
  <si>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</si>
  <si>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</si>
  <si>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</si>
  <si>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</si>
  <si>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</si>
  <si>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</si>
  <si>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</si>
  <si>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</si>
  <si>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</si>
  <si>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总分</t>
    <phoneticPr fontId="2" type="noConversion"/>
  </si>
  <si>
    <t>3.对象(定位与ctrl+a)</t>
    <phoneticPr fontId="2" type="noConversion"/>
  </si>
  <si>
    <t>页面布局</t>
    <phoneticPr fontId="2" type="noConversion"/>
  </si>
  <si>
    <t>选择窗格</t>
    <phoneticPr fontId="2" type="noConversion"/>
  </si>
  <si>
    <t>行内容差异单元格</t>
    <phoneticPr fontId="2" type="noConversion"/>
  </si>
  <si>
    <t>姓名</t>
    <phoneticPr fontId="2" type="noConversion"/>
  </si>
  <si>
    <t>等级</t>
    <phoneticPr fontId="2" type="noConversion"/>
  </si>
  <si>
    <t>司空峻</t>
  </si>
  <si>
    <t>良</t>
    <phoneticPr fontId="2" type="noConversion"/>
  </si>
  <si>
    <t>帅语</t>
  </si>
  <si>
    <t>差</t>
  </si>
  <si>
    <t>皮刚洁</t>
  </si>
  <si>
    <t>中</t>
  </si>
  <si>
    <t>涂萌</t>
  </si>
  <si>
    <t>良</t>
  </si>
  <si>
    <t>戚昊苍</t>
  </si>
  <si>
    <t>优</t>
  </si>
  <si>
    <t>白兰</t>
  </si>
  <si>
    <t>侯又晴</t>
  </si>
  <si>
    <t>厉秋</t>
  </si>
  <si>
    <t>魏翰</t>
  </si>
  <si>
    <t>沈竹</t>
  </si>
  <si>
    <t>欧阳睿</t>
  </si>
  <si>
    <t>凌珊</t>
  </si>
  <si>
    <t>海易</t>
  </si>
  <si>
    <t>晋柏</t>
  </si>
  <si>
    <t>刘民</t>
  </si>
  <si>
    <t>牟宛凝</t>
  </si>
  <si>
    <t>宰冷安</t>
  </si>
  <si>
    <t>曾弘义</t>
  </si>
  <si>
    <t>韩诚</t>
  </si>
  <si>
    <t>路青</t>
  </si>
  <si>
    <t>百里以</t>
  </si>
  <si>
    <t>丰萱</t>
  </si>
  <si>
    <t>封骄</t>
  </si>
  <si>
    <t>和哲</t>
  </si>
  <si>
    <t>廉和</t>
  </si>
  <si>
    <t>师冰</t>
  </si>
  <si>
    <t>陈兰</t>
  </si>
  <si>
    <t>陆柔</t>
  </si>
  <si>
    <t>羊舌卓</t>
  </si>
  <si>
    <t>杭嘉</t>
  </si>
  <si>
    <t>盛瑶</t>
  </si>
  <si>
    <t>宗安</t>
  </si>
  <si>
    <t>游知</t>
  </si>
  <si>
    <t>金强</t>
  </si>
  <si>
    <t>俞华藏</t>
  </si>
  <si>
    <t>行内容差异单元格</t>
    <phoneticPr fontId="2" type="noConversion"/>
  </si>
  <si>
    <t>姓名</t>
    <phoneticPr fontId="2" type="noConversion"/>
  </si>
  <si>
    <t>2010年</t>
    <phoneticPr fontId="2" type="noConversion"/>
  </si>
  <si>
    <t>2011年</t>
  </si>
  <si>
    <t>2012年</t>
  </si>
  <si>
    <t>2013年</t>
  </si>
  <si>
    <t>日期</t>
    <phoneticPr fontId="2" type="noConversion"/>
  </si>
  <si>
    <t>产品</t>
    <phoneticPr fontId="2" type="noConversion"/>
  </si>
  <si>
    <t>数量</t>
    <phoneticPr fontId="2" type="noConversion"/>
  </si>
  <si>
    <t>要求：按日期小计</t>
    <phoneticPr fontId="2" type="noConversion"/>
  </si>
  <si>
    <t>A1</t>
    <phoneticPr fontId="2" type="noConversion"/>
  </si>
  <si>
    <t>A1</t>
    <phoneticPr fontId="2" type="noConversion"/>
  </si>
  <si>
    <t>A3</t>
    <phoneticPr fontId="2" type="noConversion"/>
  </si>
  <si>
    <t>A6</t>
    <phoneticPr fontId="2" type="noConversion"/>
  </si>
  <si>
    <t>获取单元格方式不同</t>
    <phoneticPr fontId="2" type="noConversion"/>
  </si>
  <si>
    <t>选取的内容也不一样</t>
    <phoneticPr fontId="2" type="noConversion"/>
  </si>
  <si>
    <t>比较内容也不一样</t>
    <phoneticPr fontId="2" type="noConversion"/>
  </si>
  <si>
    <t>优</t>
    <phoneticPr fontId="2" type="noConversion"/>
  </si>
  <si>
    <t>小计</t>
    <phoneticPr fontId="2" type="noConversion"/>
  </si>
  <si>
    <t>A6</t>
    <phoneticPr fontId="2" type="noConversion"/>
  </si>
  <si>
    <t>A3</t>
    <phoneticPr fontId="2" type="noConversion"/>
  </si>
  <si>
    <t>A1</t>
    <phoneticPr fontId="2" type="noConversion"/>
  </si>
  <si>
    <t>数量</t>
    <phoneticPr fontId="2" type="noConversion"/>
  </si>
  <si>
    <t>产品</t>
    <phoneticPr fontId="2" type="noConversion"/>
  </si>
  <si>
    <t>日期</t>
    <phoneticPr fontId="2" type="noConversion"/>
  </si>
  <si>
    <t>引用单元格</t>
    <phoneticPr fontId="2" type="noConversion"/>
  </si>
  <si>
    <t>从属单元格</t>
    <phoneticPr fontId="2" type="noConversion"/>
  </si>
  <si>
    <t>姓名</t>
  </si>
  <si>
    <t>语文</t>
  </si>
  <si>
    <t>数学</t>
  </si>
  <si>
    <t>分数</t>
  </si>
  <si>
    <t>平均分</t>
  </si>
  <si>
    <t>岳风</t>
  </si>
  <si>
    <t>爱博</t>
  </si>
  <si>
    <t>司徒淼</t>
  </si>
  <si>
    <t>辛文</t>
  </si>
  <si>
    <t>萧亦</t>
  </si>
  <si>
    <t>上学期</t>
    <phoneticPr fontId="2" type="noConversion"/>
  </si>
  <si>
    <t>总分</t>
    <phoneticPr fontId="2" type="noConversion"/>
  </si>
  <si>
    <t>下学期</t>
    <phoneticPr fontId="2" type="noConversion"/>
  </si>
  <si>
    <t>语文</t>
    <phoneticPr fontId="2" type="noConversion"/>
  </si>
  <si>
    <t>数学</t>
    <phoneticPr fontId="2" type="noConversion"/>
  </si>
  <si>
    <t>陈向卉</t>
  </si>
  <si>
    <t>伍映</t>
  </si>
  <si>
    <t>楚香菱</t>
  </si>
  <si>
    <t>储歆</t>
  </si>
  <si>
    <t>元琴</t>
  </si>
  <si>
    <t>甘诗</t>
  </si>
  <si>
    <t>杭幻柏</t>
  </si>
  <si>
    <t>标记出总分下降的记录？</t>
    <phoneticPr fontId="2" type="noConversion"/>
  </si>
  <si>
    <t>上学期</t>
    <phoneticPr fontId="2" type="noConversion"/>
  </si>
  <si>
    <t>语文</t>
    <phoneticPr fontId="2" type="noConversion"/>
  </si>
  <si>
    <t>数学</t>
    <phoneticPr fontId="2" type="noConversion"/>
  </si>
  <si>
    <t>直接和间接</t>
    <phoneticPr fontId="2" type="noConversion"/>
  </si>
  <si>
    <t>公式追踪引用单元格</t>
    <phoneticPr fontId="2" type="noConversion"/>
  </si>
  <si>
    <t>引用与直属引用</t>
    <phoneticPr fontId="2" type="noConversion"/>
  </si>
  <si>
    <t>1.最后一个单元格</t>
    <phoneticPr fontId="2" type="noConversion"/>
  </si>
  <si>
    <t>2.可见单元格(定位与快捷键：alt+;）</t>
    <phoneticPr fontId="2" type="noConversion"/>
  </si>
  <si>
    <t>（将总业绩大于等于200000的记录筛选出来?)</t>
  </si>
  <si>
    <t>2010年业绩</t>
    <phoneticPr fontId="2" type="noConversion"/>
  </si>
  <si>
    <t>2011年业绩</t>
  </si>
  <si>
    <t>2012年业绩</t>
  </si>
  <si>
    <t>2013年业绩</t>
  </si>
  <si>
    <t>总业绩</t>
    <phoneticPr fontId="2" type="noConversion"/>
  </si>
  <si>
    <t>康圣</t>
  </si>
  <si>
    <t>涂俊</t>
  </si>
  <si>
    <t>钱瑶</t>
  </si>
  <si>
    <t>乐正睿</t>
  </si>
  <si>
    <t>段儿</t>
  </si>
  <si>
    <t>谭藻</t>
  </si>
  <si>
    <t>楮梦</t>
  </si>
  <si>
    <t>潘新柔</t>
  </si>
  <si>
    <t>琴彭彭</t>
  </si>
  <si>
    <t>段涵</t>
  </si>
  <si>
    <t>闻人凯</t>
  </si>
  <si>
    <t>2010年业绩</t>
  </si>
  <si>
    <t>总业绩</t>
  </si>
  <si>
    <t>3.定位小实例</t>
    <phoneticPr fontId="2" type="noConversion"/>
  </si>
  <si>
    <t>部门</t>
    <phoneticPr fontId="2" type="noConversion"/>
  </si>
  <si>
    <t>姓名</t>
    <phoneticPr fontId="2" type="noConversion"/>
  </si>
  <si>
    <t>销售部</t>
    <phoneticPr fontId="2" type="noConversion"/>
  </si>
  <si>
    <t>销售部</t>
    <phoneticPr fontId="2" type="noConversion"/>
  </si>
  <si>
    <t>管理部</t>
    <phoneticPr fontId="2" type="noConversion"/>
  </si>
  <si>
    <t>后勤部</t>
    <phoneticPr fontId="2" type="noConversion"/>
  </si>
  <si>
    <t>信息部</t>
    <phoneticPr fontId="2" type="noConversion"/>
  </si>
  <si>
    <t>数据-&gt;筛选</t>
    <phoneticPr fontId="2" type="noConversion"/>
  </si>
  <si>
    <t>补全+去除公式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</si>
</sst>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7" x14ac:knownFonts="1">
    <font>
      <sz val="11"/>
      <color theme="1"/>
      <name val="宋体"/>
      <family val="2"/>
      <scheme val="minor"/>
    </font>
    <font>
      <b/>
      <sz val="10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rgb="FF0070C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right" vertical="center"/>
    </xf>
    <xf numFmtId="176" fontId="3" fillId="0" borderId="3" xfId="0" applyNumberFormat="1" applyFont="1" applyBorder="1" applyAlignment="1">
      <alignment horizontal="right" vertical="center"/>
    </xf>
    <xf numFmtId="176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28</xdr:row>
      <xdr:rowOff>9525</xdr:rowOff>
    </xdr:from>
    <xdr:to>
      <xdr:col>6</xdr:col>
      <xdr:colOff>495126</xdr:colOff>
      <xdr:row>33</xdr:row>
      <xdr:rowOff>3680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5876925"/>
          <a:ext cx="1390476" cy="104190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24</xdr:row>
      <xdr:rowOff>58249</xdr:rowOff>
    </xdr:from>
    <xdr:to>
      <xdr:col>1</xdr:col>
      <xdr:colOff>142875</xdr:colOff>
      <xdr:row>28</xdr:row>
      <xdr:rowOff>28313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5087449"/>
          <a:ext cx="771525" cy="808264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24</xdr:row>
      <xdr:rowOff>86824</xdr:rowOff>
    </xdr:from>
    <xdr:to>
      <xdr:col>2</xdr:col>
      <xdr:colOff>57150</xdr:colOff>
      <xdr:row>24</xdr:row>
      <xdr:rowOff>176631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025" y="5116024"/>
          <a:ext cx="85725" cy="89807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26</xdr:row>
      <xdr:rowOff>9525</xdr:rowOff>
    </xdr:from>
    <xdr:to>
      <xdr:col>2</xdr:col>
      <xdr:colOff>666750</xdr:colOff>
      <xdr:row>27</xdr:row>
      <xdr:rowOff>47625</xdr:rowOff>
    </xdr:to>
    <xdr:cxnSp macro="">
      <xdr:nvCxnSpPr>
        <xdr:cNvPr id="5" name="直接连接符 4"/>
        <xdr:cNvCxnSpPr/>
      </xdr:nvCxnSpPr>
      <xdr:spPr>
        <a:xfrm>
          <a:off x="1466850" y="5457825"/>
          <a:ext cx="571500" cy="247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628650</xdr:colOff>
      <xdr:row>25</xdr:row>
      <xdr:rowOff>76200</xdr:rowOff>
    </xdr:from>
    <xdr:to>
      <xdr:col>4</xdr:col>
      <xdr:colOff>323850</xdr:colOff>
      <xdr:row>27</xdr:row>
      <xdr:rowOff>95250</xdr:rowOff>
    </xdr:to>
    <xdr:sp macro="" textlink="">
      <xdr:nvSpPr>
        <xdr:cNvPr id="6" name="圆角矩形 5"/>
        <xdr:cNvSpPr/>
      </xdr:nvSpPr>
      <xdr:spPr>
        <a:xfrm>
          <a:off x="2686050" y="5314950"/>
          <a:ext cx="381000" cy="4381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28575</xdr:colOff>
      <xdr:row>28</xdr:row>
      <xdr:rowOff>47625</xdr:rowOff>
    </xdr:from>
    <xdr:to>
      <xdr:col>3</xdr:col>
      <xdr:colOff>381000</xdr:colOff>
      <xdr:row>29</xdr:row>
      <xdr:rowOff>152400</xdr:rowOff>
    </xdr:to>
    <xdr:sp macro="" textlink="">
      <xdr:nvSpPr>
        <xdr:cNvPr id="7" name="右箭头 6"/>
        <xdr:cNvSpPr/>
      </xdr:nvSpPr>
      <xdr:spPr>
        <a:xfrm>
          <a:off x="2085975" y="5915025"/>
          <a:ext cx="352425" cy="3143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590550</xdr:colOff>
      <xdr:row>25</xdr:row>
      <xdr:rowOff>152400</xdr:rowOff>
    </xdr:from>
    <xdr:to>
      <xdr:col>5</xdr:col>
      <xdr:colOff>76200</xdr:colOff>
      <xdr:row>27</xdr:row>
      <xdr:rowOff>9525</xdr:rowOff>
    </xdr:to>
    <xdr:sp macro="" textlink="">
      <xdr:nvSpPr>
        <xdr:cNvPr id="8" name="右大括号 7"/>
        <xdr:cNvSpPr/>
      </xdr:nvSpPr>
      <xdr:spPr>
        <a:xfrm>
          <a:off x="3333750" y="5391150"/>
          <a:ext cx="171450" cy="2762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447675</xdr:colOff>
      <xdr:row>26</xdr:row>
      <xdr:rowOff>95250</xdr:rowOff>
    </xdr:from>
    <xdr:to>
      <xdr:col>2</xdr:col>
      <xdr:colOff>209550</xdr:colOff>
      <xdr:row>28</xdr:row>
      <xdr:rowOff>57150</xdr:rowOff>
    </xdr:to>
    <xdr:sp macro="" textlink="">
      <xdr:nvSpPr>
        <xdr:cNvPr id="9" name="流程图: 磁盘 8"/>
        <xdr:cNvSpPr/>
      </xdr:nvSpPr>
      <xdr:spPr>
        <a:xfrm>
          <a:off x="1133475" y="5543550"/>
          <a:ext cx="447675" cy="38100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554355</xdr:colOff>
      <xdr:row>0</xdr:row>
      <xdr:rowOff>127635</xdr:rowOff>
    </xdr:from>
    <xdr:to>
      <xdr:col>13</xdr:col>
      <xdr:colOff>49250</xdr:colOff>
      <xdr:row>33</xdr:row>
      <xdr:rowOff>164863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2755" y="127635"/>
          <a:ext cx="2238095" cy="6952378"/>
        </a:xfrm>
        <a:prstGeom prst="round2DiagRect">
          <a:avLst>
            <a:gd name="adj1" fmla="val 219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10" workbookViewId="0">
      <selection activeCell="G20" sqref="G20"/>
    </sheetView>
  </sheetViews>
  <sheetFormatPr defaultColWidth="9" defaultRowHeight="16.5" x14ac:dyDescent="0.35"/>
  <cols>
    <col min="1" max="16384" width="9" style="2"/>
  </cols>
  <sheetData>
    <row r="1" spans="1:5" x14ac:dyDescent="0.35">
      <c r="A1" s="1" t="s">
        <v>0</v>
      </c>
    </row>
    <row r="3" spans="1:5" x14ac:dyDescent="0.35">
      <c r="B3" s="3">
        <v>2</v>
      </c>
      <c r="C3" s="3"/>
      <c r="D3" s="3">
        <v>4</v>
      </c>
    </row>
    <row r="4" spans="1:5" x14ac:dyDescent="0.35">
      <c r="B4" s="3"/>
      <c r="C4" s="3">
        <v>1</v>
      </c>
      <c r="D4" s="3"/>
    </row>
    <row r="5" spans="1:5" x14ac:dyDescent="0.35">
      <c r="B5" s="3">
        <v>5</v>
      </c>
      <c r="C5" s="3"/>
      <c r="D5" s="3">
        <v>3</v>
      </c>
    </row>
    <row r="8" spans="1:5" x14ac:dyDescent="0.35">
      <c r="A8" s="1" t="s">
        <v>1</v>
      </c>
    </row>
    <row r="10" spans="1:5" x14ac:dyDescent="0.35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</row>
    <row r="11" spans="1:5" x14ac:dyDescent="0.35">
      <c r="A11" s="3" t="s">
        <v>7</v>
      </c>
      <c r="B11" s="3">
        <f ca="1">RANDBETWEEN(50,100)</f>
        <v>60</v>
      </c>
      <c r="C11" s="3">
        <f t="shared" ref="C11:E11" ca="1" si="0">RANDBETWEEN(50,100)</f>
        <v>73</v>
      </c>
      <c r="D11" s="3">
        <f t="shared" ca="1" si="0"/>
        <v>96</v>
      </c>
      <c r="E11" s="3">
        <f t="shared" ca="1" si="0"/>
        <v>92</v>
      </c>
    </row>
    <row r="12" spans="1:5" x14ac:dyDescent="0.35">
      <c r="A12" s="3" t="s">
        <v>8</v>
      </c>
      <c r="B12" s="3">
        <f t="shared" ref="B12:E20" ca="1" si="1">RANDBETWEEN(50,100)</f>
        <v>84</v>
      </c>
      <c r="C12" s="3">
        <f t="shared" ca="1" si="1"/>
        <v>83</v>
      </c>
      <c r="D12" s="3">
        <f t="shared" ca="1" si="1"/>
        <v>61</v>
      </c>
      <c r="E12" s="3">
        <f t="shared" ca="1" si="1"/>
        <v>81</v>
      </c>
    </row>
    <row r="13" spans="1:5" x14ac:dyDescent="0.35">
      <c r="A13" s="3" t="s">
        <v>9</v>
      </c>
      <c r="B13" s="3">
        <f t="shared" ca="1" si="1"/>
        <v>95</v>
      </c>
      <c r="C13" s="3">
        <f t="shared" ca="1" si="1"/>
        <v>100</v>
      </c>
      <c r="D13" s="3">
        <f t="shared" ca="1" si="1"/>
        <v>97</v>
      </c>
      <c r="E13" s="3">
        <f t="shared" ca="1" si="1"/>
        <v>60</v>
      </c>
    </row>
    <row r="14" spans="1:5" x14ac:dyDescent="0.35">
      <c r="A14" s="3" t="s">
        <v>10</v>
      </c>
      <c r="B14" s="3">
        <f t="shared" ca="1" si="1"/>
        <v>77</v>
      </c>
      <c r="C14" s="3">
        <f t="shared" ca="1" si="1"/>
        <v>91</v>
      </c>
      <c r="D14" s="3">
        <f t="shared" ca="1" si="1"/>
        <v>84</v>
      </c>
      <c r="E14" s="3">
        <f t="shared" ca="1" si="1"/>
        <v>71</v>
      </c>
    </row>
    <row r="15" spans="1:5" x14ac:dyDescent="0.35">
      <c r="A15" s="3" t="s">
        <v>11</v>
      </c>
      <c r="B15" s="3">
        <f t="shared" ca="1" si="1"/>
        <v>83</v>
      </c>
      <c r="C15" s="3">
        <f t="shared" ca="1" si="1"/>
        <v>60</v>
      </c>
      <c r="D15" s="3">
        <f t="shared" ca="1" si="1"/>
        <v>60</v>
      </c>
      <c r="E15" s="3">
        <f t="shared" ca="1" si="1"/>
        <v>87</v>
      </c>
    </row>
    <row r="16" spans="1:5" x14ac:dyDescent="0.35">
      <c r="A16" s="3" t="s">
        <v>12</v>
      </c>
      <c r="B16" s="3">
        <f t="shared" ca="1" si="1"/>
        <v>72</v>
      </c>
      <c r="C16" s="3">
        <f t="shared" ca="1" si="1"/>
        <v>66</v>
      </c>
      <c r="D16" s="3">
        <f t="shared" ca="1" si="1"/>
        <v>62</v>
      </c>
      <c r="E16" s="3">
        <f t="shared" ca="1" si="1"/>
        <v>53</v>
      </c>
    </row>
    <row r="17" spans="1:5" x14ac:dyDescent="0.35">
      <c r="A17" s="3" t="s">
        <v>13</v>
      </c>
      <c r="B17" s="3">
        <f t="shared" ca="1" si="1"/>
        <v>54</v>
      </c>
      <c r="C17" s="3">
        <f t="shared" ca="1" si="1"/>
        <v>50</v>
      </c>
      <c r="D17" s="3">
        <f t="shared" ca="1" si="1"/>
        <v>70</v>
      </c>
      <c r="E17" s="3">
        <f t="shared" ca="1" si="1"/>
        <v>70</v>
      </c>
    </row>
    <row r="18" spans="1:5" x14ac:dyDescent="0.35">
      <c r="A18" s="3" t="s">
        <v>14</v>
      </c>
      <c r="B18" s="3">
        <f t="shared" ca="1" si="1"/>
        <v>91</v>
      </c>
      <c r="C18" s="3">
        <f t="shared" ca="1" si="1"/>
        <v>100</v>
      </c>
      <c r="D18" s="3">
        <f t="shared" ca="1" si="1"/>
        <v>81</v>
      </c>
      <c r="E18" s="3">
        <f t="shared" ca="1" si="1"/>
        <v>77</v>
      </c>
    </row>
    <row r="19" spans="1:5" x14ac:dyDescent="0.35">
      <c r="A19" s="3" t="s">
        <v>15</v>
      </c>
      <c r="B19" s="3">
        <f t="shared" ca="1" si="1"/>
        <v>63</v>
      </c>
      <c r="C19" s="3">
        <f t="shared" ca="1" si="1"/>
        <v>92</v>
      </c>
      <c r="D19" s="3">
        <f t="shared" ca="1" si="1"/>
        <v>66</v>
      </c>
      <c r="E19" s="3">
        <f t="shared" ca="1" si="1"/>
        <v>96</v>
      </c>
    </row>
    <row r="20" spans="1:5" x14ac:dyDescent="0.35">
      <c r="A20" s="3" t="s">
        <v>16</v>
      </c>
      <c r="B20" s="3">
        <f t="shared" ca="1" si="1"/>
        <v>81</v>
      </c>
      <c r="C20" s="3">
        <f t="shared" ca="1" si="1"/>
        <v>86</v>
      </c>
      <c r="D20" s="3">
        <f t="shared" ca="1" si="1"/>
        <v>75</v>
      </c>
      <c r="E20" s="3">
        <f t="shared" ca="1" si="1"/>
        <v>65</v>
      </c>
    </row>
    <row r="21" spans="1:5" x14ac:dyDescent="0.35">
      <c r="A21" s="3" t="s">
        <v>17</v>
      </c>
      <c r="B21" s="4">
        <f t="array" aca="1" ref="B21:E21" ca="1">MMULT(TRANSPOSE(ROW(11:20)^0),B11:E20)</f>
        <v>760</v>
      </c>
      <c r="C21" s="4">
        <f ca="1"/>
        <v>801</v>
      </c>
      <c r="D21" s="4">
        <f ca="1"/>
        <v>752</v>
      </c>
      <c r="E21" s="4">
        <f ca="1"/>
        <v>752</v>
      </c>
    </row>
    <row r="24" spans="1:5" x14ac:dyDescent="0.35">
      <c r="A24" s="1" t="s">
        <v>18</v>
      </c>
    </row>
    <row r="37" spans="5:6" x14ac:dyDescent="0.35">
      <c r="E37" s="2" t="s">
        <v>19</v>
      </c>
      <c r="F37" s="2" t="s">
        <v>20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E29" sqref="E29"/>
    </sheetView>
  </sheetViews>
  <sheetFormatPr defaultColWidth="9" defaultRowHeight="16.5" x14ac:dyDescent="0.35"/>
  <cols>
    <col min="1" max="16384" width="9" style="2"/>
  </cols>
  <sheetData>
    <row r="1" spans="1:5" x14ac:dyDescent="0.35">
      <c r="A1" s="2" t="s">
        <v>21</v>
      </c>
    </row>
    <row r="2" spans="1:5" x14ac:dyDescent="0.35">
      <c r="A2" s="3" t="s">
        <v>22</v>
      </c>
      <c r="B2" s="3" t="s">
        <v>23</v>
      </c>
    </row>
    <row r="3" spans="1:5" x14ac:dyDescent="0.35">
      <c r="A3" s="3" t="s">
        <v>24</v>
      </c>
      <c r="B3" s="3" t="s">
        <v>25</v>
      </c>
    </row>
    <row r="4" spans="1:5" x14ac:dyDescent="0.35">
      <c r="A4" s="3" t="s">
        <v>26</v>
      </c>
      <c r="B4" s="3" t="s">
        <v>27</v>
      </c>
      <c r="E4" s="2" t="s">
        <v>78</v>
      </c>
    </row>
    <row r="5" spans="1:5" x14ac:dyDescent="0.35">
      <c r="A5" s="3" t="s">
        <v>28</v>
      </c>
      <c r="B5" s="3" t="s">
        <v>29</v>
      </c>
      <c r="E5" s="2" t="s">
        <v>79</v>
      </c>
    </row>
    <row r="6" spans="1:5" x14ac:dyDescent="0.35">
      <c r="A6" s="3" t="s">
        <v>30</v>
      </c>
      <c r="B6" s="3" t="s">
        <v>31</v>
      </c>
      <c r="E6" s="2" t="s">
        <v>80</v>
      </c>
    </row>
    <row r="7" spans="1:5" x14ac:dyDescent="0.35">
      <c r="A7" s="3" t="s">
        <v>32</v>
      </c>
      <c r="B7" s="3" t="s">
        <v>33</v>
      </c>
    </row>
    <row r="8" spans="1:5" x14ac:dyDescent="0.35">
      <c r="A8" s="3" t="s">
        <v>34</v>
      </c>
      <c r="B8" s="3" t="s">
        <v>27</v>
      </c>
    </row>
    <row r="9" spans="1:5" x14ac:dyDescent="0.35">
      <c r="A9" s="3" t="s">
        <v>35</v>
      </c>
      <c r="B9" s="3" t="s">
        <v>31</v>
      </c>
    </row>
    <row r="10" spans="1:5" x14ac:dyDescent="0.35">
      <c r="A10" s="3" t="s">
        <v>36</v>
      </c>
      <c r="B10" s="3" t="s">
        <v>33</v>
      </c>
    </row>
    <row r="11" spans="1:5" x14ac:dyDescent="0.35">
      <c r="A11" s="3" t="s">
        <v>37</v>
      </c>
      <c r="B11" s="3" t="s">
        <v>33</v>
      </c>
    </row>
    <row r="12" spans="1:5" x14ac:dyDescent="0.35">
      <c r="A12" s="3" t="s">
        <v>38</v>
      </c>
      <c r="B12" s="3" t="s">
        <v>27</v>
      </c>
    </row>
    <row r="13" spans="1:5" x14ac:dyDescent="0.35">
      <c r="A13" s="3" t="s">
        <v>39</v>
      </c>
      <c r="B13" s="3" t="s">
        <v>33</v>
      </c>
    </row>
    <row r="14" spans="1:5" x14ac:dyDescent="0.35">
      <c r="A14" s="3" t="s">
        <v>40</v>
      </c>
      <c r="B14" s="3" t="s">
        <v>33</v>
      </c>
    </row>
    <row r="15" spans="1:5" x14ac:dyDescent="0.35">
      <c r="A15" s="3" t="s">
        <v>41</v>
      </c>
      <c r="B15" s="3" t="s">
        <v>29</v>
      </c>
    </row>
    <row r="16" spans="1:5" x14ac:dyDescent="0.35">
      <c r="A16" s="3" t="s">
        <v>42</v>
      </c>
      <c r="B16" s="3" t="s">
        <v>31</v>
      </c>
    </row>
    <row r="17" spans="1:2" x14ac:dyDescent="0.35">
      <c r="A17" s="3" t="s">
        <v>43</v>
      </c>
      <c r="B17" s="3" t="s">
        <v>29</v>
      </c>
    </row>
    <row r="18" spans="1:2" x14ac:dyDescent="0.35">
      <c r="A18" s="3" t="s">
        <v>44</v>
      </c>
      <c r="B18" s="3" t="s">
        <v>31</v>
      </c>
    </row>
    <row r="19" spans="1:2" x14ac:dyDescent="0.35">
      <c r="A19" s="3" t="s">
        <v>45</v>
      </c>
      <c r="B19" s="3" t="s">
        <v>31</v>
      </c>
    </row>
    <row r="20" spans="1:2" x14ac:dyDescent="0.35">
      <c r="A20" s="3" t="s">
        <v>46</v>
      </c>
      <c r="B20" s="3" t="s">
        <v>31</v>
      </c>
    </row>
    <row r="21" spans="1:2" x14ac:dyDescent="0.35">
      <c r="A21" s="3" t="s">
        <v>47</v>
      </c>
      <c r="B21" s="3" t="s">
        <v>31</v>
      </c>
    </row>
    <row r="22" spans="1:2" x14ac:dyDescent="0.35">
      <c r="A22" s="3" t="s">
        <v>48</v>
      </c>
      <c r="B22" s="3" t="s">
        <v>27</v>
      </c>
    </row>
    <row r="23" spans="1:2" x14ac:dyDescent="0.35">
      <c r="A23" s="3" t="s">
        <v>49</v>
      </c>
      <c r="B23" s="3" t="s">
        <v>33</v>
      </c>
    </row>
    <row r="24" spans="1:2" x14ac:dyDescent="0.35">
      <c r="A24" s="3" t="s">
        <v>50</v>
      </c>
      <c r="B24" s="3" t="s">
        <v>29</v>
      </c>
    </row>
    <row r="25" spans="1:2" x14ac:dyDescent="0.35">
      <c r="A25" s="3" t="s">
        <v>51</v>
      </c>
      <c r="B25" s="3" t="s">
        <v>27</v>
      </c>
    </row>
    <row r="26" spans="1:2" x14ac:dyDescent="0.35">
      <c r="A26" s="3" t="s">
        <v>52</v>
      </c>
      <c r="B26" s="3" t="s">
        <v>31</v>
      </c>
    </row>
    <row r="27" spans="1:2" x14ac:dyDescent="0.35">
      <c r="A27" s="3" t="s">
        <v>53</v>
      </c>
      <c r="B27" s="3" t="s">
        <v>33</v>
      </c>
    </row>
    <row r="28" spans="1:2" x14ac:dyDescent="0.35">
      <c r="A28" s="3" t="s">
        <v>54</v>
      </c>
      <c r="B28" s="3" t="s">
        <v>33</v>
      </c>
    </row>
    <row r="29" spans="1:2" x14ac:dyDescent="0.35">
      <c r="A29" s="3" t="s">
        <v>55</v>
      </c>
      <c r="B29" s="3" t="s">
        <v>27</v>
      </c>
    </row>
    <row r="30" spans="1:2" x14ac:dyDescent="0.35">
      <c r="A30" s="3" t="s">
        <v>56</v>
      </c>
      <c r="B30" s="3" t="s">
        <v>31</v>
      </c>
    </row>
    <row r="31" spans="1:2" x14ac:dyDescent="0.35">
      <c r="A31" s="3" t="s">
        <v>57</v>
      </c>
      <c r="B31" s="3" t="s">
        <v>31</v>
      </c>
    </row>
    <row r="32" spans="1:2" x14ac:dyDescent="0.35">
      <c r="A32" s="3" t="s">
        <v>58</v>
      </c>
      <c r="B32" s="3" t="s">
        <v>31</v>
      </c>
    </row>
    <row r="33" spans="1:2" x14ac:dyDescent="0.35">
      <c r="A33" s="3" t="s">
        <v>59</v>
      </c>
      <c r="B33" s="3" t="s">
        <v>33</v>
      </c>
    </row>
    <row r="34" spans="1:2" x14ac:dyDescent="0.35">
      <c r="A34" s="3" t="s">
        <v>60</v>
      </c>
      <c r="B34" s="3" t="s">
        <v>29</v>
      </c>
    </row>
    <row r="35" spans="1:2" x14ac:dyDescent="0.35">
      <c r="A35" s="3" t="s">
        <v>61</v>
      </c>
      <c r="B35" s="3" t="s">
        <v>33</v>
      </c>
    </row>
    <row r="36" spans="1:2" x14ac:dyDescent="0.35">
      <c r="A36" s="3" t="s">
        <v>62</v>
      </c>
      <c r="B36" s="3" t="s">
        <v>27</v>
      </c>
    </row>
    <row r="37" spans="1:2" x14ac:dyDescent="0.35">
      <c r="A37" s="3" t="s">
        <v>63</v>
      </c>
      <c r="B37" s="3" t="s">
        <v>27</v>
      </c>
    </row>
    <row r="38" spans="1:2" x14ac:dyDescent="0.35">
      <c r="B38" s="2" t="s">
        <v>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H11" sqref="H11"/>
    </sheetView>
  </sheetViews>
  <sheetFormatPr defaultColWidth="9" defaultRowHeight="16.5" x14ac:dyDescent="0.35"/>
  <cols>
    <col min="1" max="16384" width="9" style="2"/>
  </cols>
  <sheetData>
    <row r="1" spans="1:5" x14ac:dyDescent="0.35">
      <c r="A1" s="2" t="s">
        <v>64</v>
      </c>
    </row>
    <row r="2" spans="1:5" x14ac:dyDescent="0.35">
      <c r="A2" s="3" t="s">
        <v>65</v>
      </c>
      <c r="B2" s="3" t="s">
        <v>66</v>
      </c>
      <c r="C2" s="3" t="s">
        <v>67</v>
      </c>
      <c r="D2" s="3" t="s">
        <v>68</v>
      </c>
      <c r="E2" s="3" t="s">
        <v>69</v>
      </c>
    </row>
    <row r="3" spans="1:5" x14ac:dyDescent="0.35">
      <c r="A3" s="3" t="s">
        <v>24</v>
      </c>
      <c r="B3" s="3" t="s">
        <v>31</v>
      </c>
      <c r="C3" s="3" t="s">
        <v>31</v>
      </c>
      <c r="D3" s="3" t="s">
        <v>31</v>
      </c>
      <c r="E3" s="3" t="s">
        <v>33</v>
      </c>
    </row>
    <row r="4" spans="1:5" x14ac:dyDescent="0.35">
      <c r="A4" s="3" t="s">
        <v>26</v>
      </c>
      <c r="B4" s="3" t="s">
        <v>33</v>
      </c>
      <c r="C4" s="3" t="s">
        <v>27</v>
      </c>
      <c r="D4" s="3" t="s">
        <v>27</v>
      </c>
      <c r="E4" s="3" t="s">
        <v>29</v>
      </c>
    </row>
    <row r="5" spans="1:5" x14ac:dyDescent="0.35">
      <c r="A5" s="3" t="s">
        <v>28</v>
      </c>
      <c r="B5" s="3" t="s">
        <v>27</v>
      </c>
      <c r="C5" s="3" t="s">
        <v>31</v>
      </c>
      <c r="D5" s="3" t="s">
        <v>33</v>
      </c>
      <c r="E5" s="3" t="s">
        <v>27</v>
      </c>
    </row>
    <row r="6" spans="1:5" x14ac:dyDescent="0.35">
      <c r="A6" s="3" t="s">
        <v>30</v>
      </c>
      <c r="B6" s="3" t="s">
        <v>33</v>
      </c>
      <c r="C6" s="3" t="s">
        <v>27</v>
      </c>
      <c r="D6" s="3" t="s">
        <v>31</v>
      </c>
      <c r="E6" s="3" t="s">
        <v>33</v>
      </c>
    </row>
    <row r="7" spans="1:5" x14ac:dyDescent="0.35">
      <c r="A7" s="3" t="s">
        <v>32</v>
      </c>
      <c r="B7" s="3" t="s">
        <v>31</v>
      </c>
      <c r="C7" s="3" t="s">
        <v>31</v>
      </c>
      <c r="D7" s="3" t="s">
        <v>29</v>
      </c>
      <c r="E7" s="3" t="s">
        <v>33</v>
      </c>
    </row>
    <row r="8" spans="1:5" x14ac:dyDescent="0.35">
      <c r="A8" s="3" t="s">
        <v>34</v>
      </c>
      <c r="B8" s="3" t="s">
        <v>33</v>
      </c>
      <c r="C8" s="3" t="s">
        <v>31</v>
      </c>
      <c r="D8" s="3" t="s">
        <v>33</v>
      </c>
      <c r="E8" s="3" t="s">
        <v>33</v>
      </c>
    </row>
    <row r="9" spans="1:5" x14ac:dyDescent="0.35">
      <c r="A9" s="3" t="s">
        <v>35</v>
      </c>
      <c r="B9" s="3" t="s">
        <v>27</v>
      </c>
      <c r="C9" s="3" t="s">
        <v>33</v>
      </c>
      <c r="D9" s="3" t="s">
        <v>33</v>
      </c>
      <c r="E9" s="3" t="s">
        <v>27</v>
      </c>
    </row>
    <row r="10" spans="1:5" x14ac:dyDescent="0.35">
      <c r="A10" s="3" t="s">
        <v>36</v>
      </c>
      <c r="B10" s="3" t="s">
        <v>29</v>
      </c>
      <c r="C10" s="3" t="s">
        <v>29</v>
      </c>
      <c r="D10" s="3" t="s">
        <v>33</v>
      </c>
      <c r="E10" s="3" t="s">
        <v>29</v>
      </c>
    </row>
    <row r="11" spans="1:5" x14ac:dyDescent="0.35">
      <c r="A11" s="3" t="s">
        <v>37</v>
      </c>
      <c r="B11" s="3" t="s">
        <v>31</v>
      </c>
      <c r="C11" s="3" t="s">
        <v>27</v>
      </c>
      <c r="D11" s="3" t="s">
        <v>29</v>
      </c>
      <c r="E11" s="3" t="s">
        <v>27</v>
      </c>
    </row>
    <row r="12" spans="1:5" x14ac:dyDescent="0.35">
      <c r="A12" s="3" t="s">
        <v>38</v>
      </c>
      <c r="B12" s="3" t="s">
        <v>29</v>
      </c>
      <c r="C12" s="3" t="s">
        <v>27</v>
      </c>
      <c r="D12" s="3" t="s">
        <v>27</v>
      </c>
      <c r="E12" s="3" t="s">
        <v>29</v>
      </c>
    </row>
    <row r="13" spans="1:5" x14ac:dyDescent="0.35">
      <c r="A13" s="3" t="s">
        <v>39</v>
      </c>
      <c r="B13" s="3" t="s">
        <v>29</v>
      </c>
      <c r="C13" s="3" t="s">
        <v>29</v>
      </c>
      <c r="D13" s="3" t="s">
        <v>29</v>
      </c>
      <c r="E13" s="3" t="s">
        <v>27</v>
      </c>
    </row>
    <row r="14" spans="1:5" x14ac:dyDescent="0.35">
      <c r="A14" s="3" t="s">
        <v>40</v>
      </c>
      <c r="B14" s="3" t="s">
        <v>31</v>
      </c>
      <c r="C14" s="3" t="s">
        <v>31</v>
      </c>
      <c r="D14" s="3" t="s">
        <v>31</v>
      </c>
      <c r="E14" s="3" t="s">
        <v>31</v>
      </c>
    </row>
    <row r="15" spans="1:5" x14ac:dyDescent="0.35">
      <c r="A15" s="3" t="s">
        <v>41</v>
      </c>
      <c r="B15" s="3" t="s">
        <v>31</v>
      </c>
      <c r="C15" s="3" t="s">
        <v>33</v>
      </c>
      <c r="D15" s="3" t="s">
        <v>33</v>
      </c>
      <c r="E15" s="3" t="s">
        <v>27</v>
      </c>
    </row>
    <row r="16" spans="1:5" x14ac:dyDescent="0.35">
      <c r="A16" s="3" t="s">
        <v>42</v>
      </c>
      <c r="B16" s="3" t="s">
        <v>27</v>
      </c>
      <c r="C16" s="3" t="s">
        <v>29</v>
      </c>
      <c r="D16" s="3" t="s">
        <v>31</v>
      </c>
      <c r="E16" s="3" t="s">
        <v>27</v>
      </c>
    </row>
    <row r="17" spans="1:5" x14ac:dyDescent="0.35">
      <c r="A17" s="3" t="s">
        <v>43</v>
      </c>
      <c r="B17" s="3" t="s">
        <v>27</v>
      </c>
      <c r="C17" s="3" t="s">
        <v>33</v>
      </c>
      <c r="D17" s="3" t="s">
        <v>31</v>
      </c>
      <c r="E17" s="3" t="s">
        <v>31</v>
      </c>
    </row>
    <row r="18" spans="1:5" x14ac:dyDescent="0.35">
      <c r="A18" s="3" t="s">
        <v>44</v>
      </c>
      <c r="B18" s="3" t="s">
        <v>31</v>
      </c>
      <c r="C18" s="3" t="s">
        <v>29</v>
      </c>
      <c r="D18" s="3" t="s">
        <v>27</v>
      </c>
      <c r="E18" s="3" t="s">
        <v>31</v>
      </c>
    </row>
    <row r="19" spans="1:5" x14ac:dyDescent="0.35">
      <c r="A19" s="3" t="s">
        <v>45</v>
      </c>
      <c r="B19" s="3" t="s">
        <v>27</v>
      </c>
      <c r="C19" s="3" t="s">
        <v>33</v>
      </c>
      <c r="D19" s="3" t="s">
        <v>33</v>
      </c>
      <c r="E19" s="3" t="s">
        <v>29</v>
      </c>
    </row>
    <row r="20" spans="1:5" x14ac:dyDescent="0.35">
      <c r="A20" s="3" t="s">
        <v>46</v>
      </c>
      <c r="B20" s="3" t="s">
        <v>33</v>
      </c>
      <c r="C20" s="3" t="s">
        <v>31</v>
      </c>
      <c r="D20" s="3" t="s">
        <v>31</v>
      </c>
      <c r="E20" s="3" t="s">
        <v>33</v>
      </c>
    </row>
    <row r="21" spans="1:5" x14ac:dyDescent="0.35">
      <c r="A21" s="3" t="s">
        <v>47</v>
      </c>
      <c r="B21" s="3" t="s">
        <v>31</v>
      </c>
      <c r="C21" s="3" t="s">
        <v>27</v>
      </c>
      <c r="D21" s="3" t="s">
        <v>27</v>
      </c>
      <c r="E21" s="3" t="s">
        <v>31</v>
      </c>
    </row>
    <row r="22" spans="1:5" x14ac:dyDescent="0.35">
      <c r="A22" s="3" t="s">
        <v>48</v>
      </c>
      <c r="B22" s="3" t="s">
        <v>29</v>
      </c>
      <c r="C22" s="3" t="s">
        <v>31</v>
      </c>
      <c r="D22" s="3" t="s">
        <v>27</v>
      </c>
      <c r="E22" s="3" t="s">
        <v>33</v>
      </c>
    </row>
    <row r="23" spans="1:5" x14ac:dyDescent="0.35">
      <c r="A23" s="3" t="s">
        <v>49</v>
      </c>
      <c r="B23" s="3" t="s">
        <v>31</v>
      </c>
      <c r="C23" s="3" t="s">
        <v>31</v>
      </c>
      <c r="D23" s="3" t="s">
        <v>27</v>
      </c>
      <c r="E23" s="3" t="s">
        <v>27</v>
      </c>
    </row>
    <row r="24" spans="1:5" x14ac:dyDescent="0.35">
      <c r="A24" s="3" t="s">
        <v>50</v>
      </c>
      <c r="B24" s="3" t="s">
        <v>29</v>
      </c>
      <c r="C24" s="3" t="s">
        <v>31</v>
      </c>
      <c r="D24" s="3" t="s">
        <v>27</v>
      </c>
      <c r="E24" s="3" t="s">
        <v>29</v>
      </c>
    </row>
    <row r="25" spans="1:5" x14ac:dyDescent="0.35">
      <c r="A25" s="3" t="s">
        <v>51</v>
      </c>
      <c r="B25" s="3" t="s">
        <v>29</v>
      </c>
      <c r="C25" s="3" t="s">
        <v>33</v>
      </c>
      <c r="D25" s="3" t="s">
        <v>33</v>
      </c>
      <c r="E25" s="3" t="s">
        <v>29</v>
      </c>
    </row>
    <row r="26" spans="1:5" x14ac:dyDescent="0.35">
      <c r="A26" s="3" t="s">
        <v>52</v>
      </c>
      <c r="B26" s="3" t="s">
        <v>29</v>
      </c>
      <c r="C26" s="3" t="s">
        <v>29</v>
      </c>
      <c r="D26" s="3" t="s">
        <v>33</v>
      </c>
      <c r="E26" s="3" t="s">
        <v>31</v>
      </c>
    </row>
    <row r="27" spans="1:5" x14ac:dyDescent="0.35">
      <c r="A27" s="3" t="s">
        <v>53</v>
      </c>
      <c r="B27" s="3" t="s">
        <v>31</v>
      </c>
      <c r="C27" s="3" t="s">
        <v>29</v>
      </c>
      <c r="D27" s="3" t="s">
        <v>33</v>
      </c>
      <c r="E27" s="3" t="s">
        <v>27</v>
      </c>
    </row>
    <row r="28" spans="1:5" x14ac:dyDescent="0.35">
      <c r="A28" s="3" t="s">
        <v>54</v>
      </c>
      <c r="B28" s="3" t="s">
        <v>33</v>
      </c>
      <c r="C28" s="3" t="s">
        <v>31</v>
      </c>
      <c r="D28" s="3" t="s">
        <v>33</v>
      </c>
      <c r="E28" s="3" t="s">
        <v>33</v>
      </c>
    </row>
    <row r="29" spans="1:5" x14ac:dyDescent="0.35">
      <c r="A29" s="3" t="s">
        <v>55</v>
      </c>
      <c r="B29" s="3" t="s">
        <v>31</v>
      </c>
      <c r="C29" s="3" t="s">
        <v>27</v>
      </c>
      <c r="D29" s="3" t="s">
        <v>33</v>
      </c>
      <c r="E29" s="3" t="s">
        <v>33</v>
      </c>
    </row>
    <row r="30" spans="1:5" x14ac:dyDescent="0.35">
      <c r="A30" s="3" t="s">
        <v>56</v>
      </c>
      <c r="B30" s="3" t="s">
        <v>27</v>
      </c>
      <c r="C30" s="3" t="s">
        <v>27</v>
      </c>
      <c r="D30" s="3" t="s">
        <v>27</v>
      </c>
      <c r="E30" s="3" t="s">
        <v>29</v>
      </c>
    </row>
    <row r="31" spans="1:5" x14ac:dyDescent="0.35">
      <c r="A31" s="3" t="s">
        <v>57</v>
      </c>
      <c r="B31" s="3" t="s">
        <v>29</v>
      </c>
      <c r="C31" s="3" t="s">
        <v>31</v>
      </c>
      <c r="D31" s="3" t="s">
        <v>33</v>
      </c>
      <c r="E31" s="3" t="s">
        <v>29</v>
      </c>
    </row>
    <row r="32" spans="1:5" x14ac:dyDescent="0.35">
      <c r="A32" s="3" t="s">
        <v>58</v>
      </c>
      <c r="B32" s="3" t="s">
        <v>29</v>
      </c>
      <c r="C32" s="3" t="s">
        <v>29</v>
      </c>
      <c r="D32" s="3" t="s">
        <v>29</v>
      </c>
      <c r="E32" s="3" t="s">
        <v>29</v>
      </c>
    </row>
    <row r="33" spans="1:5" x14ac:dyDescent="0.35">
      <c r="A33" s="3" t="s">
        <v>59</v>
      </c>
      <c r="B33" s="3" t="s">
        <v>33</v>
      </c>
      <c r="C33" s="3" t="s">
        <v>27</v>
      </c>
      <c r="D33" s="3" t="s">
        <v>33</v>
      </c>
      <c r="E33" s="3" t="s">
        <v>33</v>
      </c>
    </row>
    <row r="34" spans="1:5" x14ac:dyDescent="0.35">
      <c r="A34" s="3" t="s">
        <v>60</v>
      </c>
      <c r="B34" s="3" t="s">
        <v>27</v>
      </c>
      <c r="C34" s="3" t="s">
        <v>29</v>
      </c>
      <c r="D34" s="3" t="s">
        <v>33</v>
      </c>
      <c r="E34" s="3" t="s">
        <v>33</v>
      </c>
    </row>
    <row r="35" spans="1:5" x14ac:dyDescent="0.35">
      <c r="A35" s="3" t="s">
        <v>61</v>
      </c>
      <c r="B35" s="3" t="s">
        <v>27</v>
      </c>
      <c r="C35" s="3" t="s">
        <v>29</v>
      </c>
      <c r="D35" s="3" t="s">
        <v>27</v>
      </c>
      <c r="E35" s="3" t="s">
        <v>27</v>
      </c>
    </row>
    <row r="36" spans="1:5" x14ac:dyDescent="0.35">
      <c r="A36" s="3" t="s">
        <v>62</v>
      </c>
      <c r="B36" s="3" t="s">
        <v>33</v>
      </c>
      <c r="C36" s="3" t="s">
        <v>31</v>
      </c>
      <c r="D36" s="3" t="s">
        <v>31</v>
      </c>
      <c r="E36" s="3" t="s">
        <v>33</v>
      </c>
    </row>
    <row r="37" spans="1:5" x14ac:dyDescent="0.35">
      <c r="A37" s="3" t="s">
        <v>63</v>
      </c>
      <c r="B37" s="3" t="s">
        <v>33</v>
      </c>
      <c r="C37" s="3" t="s">
        <v>27</v>
      </c>
      <c r="D37" s="3" t="s">
        <v>27</v>
      </c>
      <c r="E37" s="3" t="s">
        <v>31</v>
      </c>
    </row>
    <row r="38" spans="1:5" x14ac:dyDescent="0.35">
      <c r="B38" s="2" t="s">
        <v>81</v>
      </c>
      <c r="C38" s="2" t="s">
        <v>81</v>
      </c>
      <c r="D38" s="2" t="s">
        <v>81</v>
      </c>
      <c r="E38" s="2" t="s">
        <v>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7" workbookViewId="0">
      <selection activeCell="I4" sqref="I4"/>
    </sheetView>
  </sheetViews>
  <sheetFormatPr defaultColWidth="9" defaultRowHeight="16.5" x14ac:dyDescent="0.35"/>
  <cols>
    <col min="1" max="1" width="10" style="2" bestFit="1" customWidth="1"/>
    <col min="2" max="16384" width="9" style="2"/>
  </cols>
  <sheetData>
    <row r="1" spans="1:8" x14ac:dyDescent="0.35">
      <c r="A1" s="3" t="s">
        <v>70</v>
      </c>
      <c r="B1" s="3" t="s">
        <v>71</v>
      </c>
      <c r="C1" s="3" t="s">
        <v>72</v>
      </c>
      <c r="G1" s="2" t="s">
        <v>73</v>
      </c>
    </row>
    <row r="2" spans="1:8" x14ac:dyDescent="0.35">
      <c r="A2" s="5">
        <v>42217</v>
      </c>
      <c r="B2" s="3" t="s">
        <v>74</v>
      </c>
      <c r="C2" s="3">
        <v>49</v>
      </c>
    </row>
    <row r="3" spans="1:8" x14ac:dyDescent="0.35">
      <c r="A3" s="5">
        <v>42217</v>
      </c>
      <c r="B3" s="3" t="s">
        <v>8</v>
      </c>
      <c r="C3" s="3">
        <v>57</v>
      </c>
      <c r="F3" s="3" t="s">
        <v>88</v>
      </c>
      <c r="G3" s="3" t="s">
        <v>87</v>
      </c>
      <c r="H3" s="3" t="s">
        <v>86</v>
      </c>
    </row>
    <row r="4" spans="1:8" x14ac:dyDescent="0.35">
      <c r="A4" s="5">
        <v>42217</v>
      </c>
      <c r="B4" s="3" t="s">
        <v>9</v>
      </c>
      <c r="C4" s="3">
        <v>45</v>
      </c>
      <c r="F4" s="5">
        <v>42217</v>
      </c>
      <c r="G4" s="3" t="s">
        <v>85</v>
      </c>
      <c r="H4" s="3">
        <v>49</v>
      </c>
    </row>
    <row r="5" spans="1:8" x14ac:dyDescent="0.35">
      <c r="A5" s="5">
        <v>42217</v>
      </c>
      <c r="B5" s="3" t="s">
        <v>10</v>
      </c>
      <c r="C5" s="3">
        <v>78</v>
      </c>
      <c r="F5" s="5">
        <v>42217</v>
      </c>
      <c r="G5" s="3" t="s">
        <v>8</v>
      </c>
      <c r="H5" s="3">
        <v>57</v>
      </c>
    </row>
    <row r="6" spans="1:8" x14ac:dyDescent="0.35">
      <c r="A6" s="5">
        <v>42217</v>
      </c>
      <c r="B6" s="3" t="s">
        <v>11</v>
      </c>
      <c r="C6" s="3">
        <v>16</v>
      </c>
      <c r="F6" s="5">
        <v>42217</v>
      </c>
      <c r="G6" s="3" t="s">
        <v>9</v>
      </c>
      <c r="H6" s="3">
        <v>45</v>
      </c>
    </row>
    <row r="7" spans="1:8" x14ac:dyDescent="0.35">
      <c r="A7" s="7" t="s">
        <v>82</v>
      </c>
      <c r="B7" s="8"/>
      <c r="C7" s="3">
        <f>SUM(C2:C6)</f>
        <v>245</v>
      </c>
      <c r="F7" s="5">
        <v>42217</v>
      </c>
      <c r="G7" s="3" t="s">
        <v>10</v>
      </c>
      <c r="H7" s="3">
        <v>78</v>
      </c>
    </row>
    <row r="8" spans="1:8" x14ac:dyDescent="0.35">
      <c r="A8" s="5">
        <v>42218</v>
      </c>
      <c r="B8" s="3" t="s">
        <v>75</v>
      </c>
      <c r="C8" s="3">
        <v>73</v>
      </c>
      <c r="F8" s="5">
        <v>42217</v>
      </c>
      <c r="G8" s="3" t="s">
        <v>11</v>
      </c>
      <c r="H8" s="3">
        <v>16</v>
      </c>
    </row>
    <row r="9" spans="1:8" x14ac:dyDescent="0.35">
      <c r="A9" s="5">
        <v>42218</v>
      </c>
      <c r="B9" s="3" t="s">
        <v>8</v>
      </c>
      <c r="C9" s="3">
        <v>18</v>
      </c>
      <c r="F9" s="5">
        <v>42218</v>
      </c>
      <c r="G9" s="3" t="s">
        <v>85</v>
      </c>
      <c r="H9" s="3">
        <v>73</v>
      </c>
    </row>
    <row r="10" spans="1:8" x14ac:dyDescent="0.35">
      <c r="A10" s="5">
        <v>42218</v>
      </c>
      <c r="B10" s="3" t="s">
        <v>9</v>
      </c>
      <c r="C10" s="3">
        <v>63</v>
      </c>
      <c r="F10" s="5">
        <v>42218</v>
      </c>
      <c r="G10" s="3" t="s">
        <v>8</v>
      </c>
      <c r="H10" s="3">
        <v>18</v>
      </c>
    </row>
    <row r="11" spans="1:8" x14ac:dyDescent="0.35">
      <c r="A11" s="5">
        <v>42218</v>
      </c>
      <c r="B11" s="3" t="s">
        <v>10</v>
      </c>
      <c r="C11" s="3">
        <v>54</v>
      </c>
      <c r="F11" s="5">
        <v>42218</v>
      </c>
      <c r="G11" s="3" t="s">
        <v>9</v>
      </c>
      <c r="H11" s="3">
        <v>63</v>
      </c>
    </row>
    <row r="12" spans="1:8" x14ac:dyDescent="0.35">
      <c r="A12" s="7" t="s">
        <v>82</v>
      </c>
      <c r="B12" s="8"/>
      <c r="C12" s="3">
        <f>SUM(C8:C11)</f>
        <v>208</v>
      </c>
      <c r="F12" s="5">
        <v>42218</v>
      </c>
      <c r="G12" s="3" t="s">
        <v>10</v>
      </c>
      <c r="H12" s="3">
        <v>54</v>
      </c>
    </row>
    <row r="13" spans="1:8" x14ac:dyDescent="0.35">
      <c r="A13" s="5">
        <v>42219</v>
      </c>
      <c r="B13" s="3" t="s">
        <v>76</v>
      </c>
      <c r="C13" s="3">
        <v>69</v>
      </c>
      <c r="F13" s="5">
        <v>42219</v>
      </c>
      <c r="G13" s="3" t="s">
        <v>84</v>
      </c>
      <c r="H13" s="3">
        <v>69</v>
      </c>
    </row>
    <row r="14" spans="1:8" x14ac:dyDescent="0.35">
      <c r="A14" s="5">
        <v>42219</v>
      </c>
      <c r="B14" s="3" t="s">
        <v>10</v>
      </c>
      <c r="C14" s="3">
        <v>54</v>
      </c>
      <c r="F14" s="5">
        <v>42219</v>
      </c>
      <c r="G14" s="3" t="s">
        <v>10</v>
      </c>
      <c r="H14" s="3">
        <v>54</v>
      </c>
    </row>
    <row r="15" spans="1:8" x14ac:dyDescent="0.35">
      <c r="A15" s="5">
        <v>42219</v>
      </c>
      <c r="B15" s="3" t="s">
        <v>11</v>
      </c>
      <c r="C15" s="3">
        <v>18</v>
      </c>
      <c r="F15" s="5">
        <v>42219</v>
      </c>
      <c r="G15" s="3" t="s">
        <v>11</v>
      </c>
      <c r="H15" s="3">
        <v>18</v>
      </c>
    </row>
    <row r="16" spans="1:8" x14ac:dyDescent="0.35">
      <c r="A16" s="7" t="s">
        <v>82</v>
      </c>
      <c r="B16" s="8"/>
      <c r="C16" s="3">
        <f>SUM(C13:C15)</f>
        <v>141</v>
      </c>
      <c r="F16" s="5">
        <v>42220</v>
      </c>
      <c r="G16" s="3" t="s">
        <v>85</v>
      </c>
      <c r="H16" s="3">
        <v>61</v>
      </c>
    </row>
    <row r="17" spans="1:8" x14ac:dyDescent="0.35">
      <c r="A17" s="5">
        <v>42220</v>
      </c>
      <c r="B17" s="3" t="s">
        <v>75</v>
      </c>
      <c r="C17" s="3">
        <v>61</v>
      </c>
      <c r="F17" s="5">
        <v>42220</v>
      </c>
      <c r="G17" s="3" t="s">
        <v>8</v>
      </c>
      <c r="H17" s="3">
        <v>29</v>
      </c>
    </row>
    <row r="18" spans="1:8" x14ac:dyDescent="0.35">
      <c r="A18" s="5">
        <v>42220</v>
      </c>
      <c r="B18" s="3" t="s">
        <v>8</v>
      </c>
      <c r="C18" s="3">
        <v>29</v>
      </c>
      <c r="F18" s="5">
        <v>42220</v>
      </c>
      <c r="G18" s="3" t="s">
        <v>9</v>
      </c>
      <c r="H18" s="3">
        <v>27</v>
      </c>
    </row>
    <row r="19" spans="1:8" x14ac:dyDescent="0.35">
      <c r="A19" s="5">
        <v>42220</v>
      </c>
      <c r="B19" s="3" t="s">
        <v>9</v>
      </c>
      <c r="C19" s="3">
        <v>27</v>
      </c>
      <c r="F19" s="5">
        <v>42220</v>
      </c>
      <c r="G19" s="3" t="s">
        <v>10</v>
      </c>
      <c r="H19" s="3">
        <v>64</v>
      </c>
    </row>
    <row r="20" spans="1:8" x14ac:dyDescent="0.35">
      <c r="A20" s="5">
        <v>42220</v>
      </c>
      <c r="B20" s="3" t="s">
        <v>10</v>
      </c>
      <c r="C20" s="3">
        <v>64</v>
      </c>
      <c r="F20" s="5">
        <v>42220</v>
      </c>
      <c r="G20" s="3" t="s">
        <v>11</v>
      </c>
      <c r="H20" s="3">
        <v>58</v>
      </c>
    </row>
    <row r="21" spans="1:8" x14ac:dyDescent="0.35">
      <c r="A21" s="5">
        <v>42220</v>
      </c>
      <c r="B21" s="3" t="s">
        <v>11</v>
      </c>
      <c r="C21" s="3">
        <v>58</v>
      </c>
      <c r="F21" s="5">
        <v>42220</v>
      </c>
      <c r="G21" s="3" t="s">
        <v>12</v>
      </c>
      <c r="H21" s="3">
        <v>24</v>
      </c>
    </row>
    <row r="22" spans="1:8" x14ac:dyDescent="0.35">
      <c r="A22" s="5">
        <v>42220</v>
      </c>
      <c r="B22" s="3" t="s">
        <v>12</v>
      </c>
      <c r="C22" s="3">
        <v>24</v>
      </c>
      <c r="F22" s="5">
        <v>42220</v>
      </c>
      <c r="G22" s="3" t="s">
        <v>13</v>
      </c>
      <c r="H22" s="3">
        <v>48</v>
      </c>
    </row>
    <row r="23" spans="1:8" x14ac:dyDescent="0.35">
      <c r="A23" s="5">
        <v>42220</v>
      </c>
      <c r="B23" s="3" t="s">
        <v>13</v>
      </c>
      <c r="C23" s="3">
        <v>48</v>
      </c>
      <c r="F23" s="5">
        <v>42221</v>
      </c>
      <c r="G23" s="3" t="s">
        <v>84</v>
      </c>
      <c r="H23" s="3">
        <v>45</v>
      </c>
    </row>
    <row r="24" spans="1:8" x14ac:dyDescent="0.35">
      <c r="A24" s="7" t="s">
        <v>82</v>
      </c>
      <c r="B24" s="8"/>
      <c r="C24" s="3">
        <f>SUM(C17:C23)</f>
        <v>311</v>
      </c>
      <c r="F24" s="5">
        <v>42221</v>
      </c>
      <c r="G24" s="3" t="s">
        <v>10</v>
      </c>
      <c r="H24" s="3">
        <v>77</v>
      </c>
    </row>
    <row r="25" spans="1:8" x14ac:dyDescent="0.35">
      <c r="A25" s="5">
        <v>42221</v>
      </c>
      <c r="B25" s="3" t="s">
        <v>76</v>
      </c>
      <c r="C25" s="3">
        <v>45</v>
      </c>
      <c r="F25" s="5">
        <v>42221</v>
      </c>
      <c r="G25" s="3" t="s">
        <v>11</v>
      </c>
      <c r="H25" s="3">
        <v>47</v>
      </c>
    </row>
    <row r="26" spans="1:8" x14ac:dyDescent="0.35">
      <c r="A26" s="5">
        <v>42221</v>
      </c>
      <c r="B26" s="3" t="s">
        <v>10</v>
      </c>
      <c r="C26" s="3">
        <v>77</v>
      </c>
      <c r="F26" s="5">
        <v>42222</v>
      </c>
      <c r="G26" s="3" t="s">
        <v>83</v>
      </c>
      <c r="H26" s="3">
        <v>49</v>
      </c>
    </row>
    <row r="27" spans="1:8" x14ac:dyDescent="0.35">
      <c r="A27" s="5">
        <v>42221</v>
      </c>
      <c r="B27" s="3" t="s">
        <v>11</v>
      </c>
      <c r="C27" s="3">
        <v>47</v>
      </c>
      <c r="F27" s="5">
        <v>42222</v>
      </c>
      <c r="G27" s="3" t="s">
        <v>13</v>
      </c>
      <c r="H27" s="3">
        <v>20</v>
      </c>
    </row>
    <row r="28" spans="1:8" x14ac:dyDescent="0.35">
      <c r="A28" s="7" t="s">
        <v>82</v>
      </c>
      <c r="B28" s="8"/>
      <c r="C28" s="3">
        <f>SUM(C25:C27)</f>
        <v>169</v>
      </c>
      <c r="F28" s="5">
        <v>42222</v>
      </c>
      <c r="G28" s="3" t="s">
        <v>14</v>
      </c>
      <c r="H28" s="3">
        <v>63</v>
      </c>
    </row>
    <row r="29" spans="1:8" x14ac:dyDescent="0.35">
      <c r="A29" s="5">
        <v>42222</v>
      </c>
      <c r="B29" s="3" t="s">
        <v>77</v>
      </c>
      <c r="C29" s="3">
        <v>49</v>
      </c>
      <c r="F29" s="5">
        <v>42222</v>
      </c>
      <c r="G29" s="3" t="s">
        <v>15</v>
      </c>
      <c r="H29" s="3">
        <v>46</v>
      </c>
    </row>
    <row r="30" spans="1:8" x14ac:dyDescent="0.35">
      <c r="A30" s="5">
        <v>42222</v>
      </c>
      <c r="B30" s="3" t="s">
        <v>13</v>
      </c>
      <c r="C30" s="3">
        <v>20</v>
      </c>
    </row>
    <row r="31" spans="1:8" x14ac:dyDescent="0.35">
      <c r="A31" s="5">
        <v>42222</v>
      </c>
      <c r="B31" s="3" t="s">
        <v>14</v>
      </c>
      <c r="C31" s="3">
        <v>63</v>
      </c>
    </row>
    <row r="32" spans="1:8" x14ac:dyDescent="0.35">
      <c r="A32" s="5">
        <v>42222</v>
      </c>
      <c r="B32" s="3" t="s">
        <v>15</v>
      </c>
      <c r="C32" s="3">
        <v>46</v>
      </c>
    </row>
    <row r="33" spans="1:3" x14ac:dyDescent="0.35">
      <c r="A33" s="9" t="s">
        <v>82</v>
      </c>
      <c r="B33" s="10" t="s">
        <v>82</v>
      </c>
      <c r="C33" s="6">
        <f>SUM(C29:C32)</f>
        <v>178</v>
      </c>
    </row>
  </sheetData>
  <mergeCells count="5">
    <mergeCell ref="A28:B28"/>
    <mergeCell ref="A24:B24"/>
    <mergeCell ref="A16:B16"/>
    <mergeCell ref="A12:B12"/>
    <mergeCell ref="A7:B7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K14" sqref="K14"/>
    </sheetView>
  </sheetViews>
  <sheetFormatPr defaultColWidth="9" defaultRowHeight="16.5" x14ac:dyDescent="0.35"/>
  <cols>
    <col min="1" max="16384" width="9" style="2"/>
  </cols>
  <sheetData>
    <row r="1" spans="1:5" x14ac:dyDescent="0.35">
      <c r="A1" s="2" t="s">
        <v>89</v>
      </c>
      <c r="B1" s="2" t="s">
        <v>117</v>
      </c>
      <c r="E1" s="2" t="s">
        <v>118</v>
      </c>
    </row>
    <row r="2" spans="1:5" x14ac:dyDescent="0.35">
      <c r="A2" s="2" t="s">
        <v>90</v>
      </c>
    </row>
    <row r="4" spans="1:5" x14ac:dyDescent="0.35">
      <c r="A4" s="3" t="s">
        <v>91</v>
      </c>
      <c r="B4" s="3" t="s">
        <v>92</v>
      </c>
      <c r="C4" s="3" t="s">
        <v>93</v>
      </c>
      <c r="D4" s="3" t="s">
        <v>94</v>
      </c>
      <c r="E4" s="3" t="s">
        <v>95</v>
      </c>
    </row>
    <row r="5" spans="1:5" x14ac:dyDescent="0.35">
      <c r="A5" s="3" t="s">
        <v>96</v>
      </c>
      <c r="B5" s="3">
        <v>85</v>
      </c>
      <c r="C5" s="3">
        <v>73</v>
      </c>
      <c r="D5" s="3">
        <f>SUM(B5:C5)</f>
        <v>158</v>
      </c>
      <c r="E5" s="3">
        <f>D5/2</f>
        <v>79</v>
      </c>
    </row>
    <row r="6" spans="1:5" x14ac:dyDescent="0.35">
      <c r="A6" s="3" t="s">
        <v>97</v>
      </c>
      <c r="B6" s="3">
        <v>93</v>
      </c>
      <c r="C6" s="3">
        <v>80</v>
      </c>
      <c r="D6" s="3">
        <f t="shared" ref="D6:D9" si="0">SUM(B6:C6)</f>
        <v>173</v>
      </c>
      <c r="E6" s="3">
        <f t="shared" ref="E6:E9" si="1">D6/2</f>
        <v>86.5</v>
      </c>
    </row>
    <row r="7" spans="1:5" x14ac:dyDescent="0.35">
      <c r="A7" s="3" t="s">
        <v>98</v>
      </c>
      <c r="B7" s="3">
        <v>94</v>
      </c>
      <c r="C7" s="3">
        <v>72</v>
      </c>
      <c r="D7" s="3">
        <f t="shared" si="0"/>
        <v>166</v>
      </c>
      <c r="E7" s="3">
        <f t="shared" si="1"/>
        <v>83</v>
      </c>
    </row>
    <row r="8" spans="1:5" x14ac:dyDescent="0.35">
      <c r="A8" s="3" t="s">
        <v>99</v>
      </c>
      <c r="B8" s="3">
        <v>93</v>
      </c>
      <c r="C8" s="3">
        <v>95</v>
      </c>
      <c r="D8" s="3">
        <f t="shared" si="0"/>
        <v>188</v>
      </c>
      <c r="E8" s="3">
        <f t="shared" si="1"/>
        <v>94</v>
      </c>
    </row>
    <row r="9" spans="1:5" x14ac:dyDescent="0.35">
      <c r="A9" s="3" t="s">
        <v>100</v>
      </c>
      <c r="B9" s="3">
        <v>64</v>
      </c>
      <c r="C9" s="3">
        <v>79</v>
      </c>
      <c r="D9" s="3">
        <f t="shared" si="0"/>
        <v>143</v>
      </c>
      <c r="E9" s="3">
        <f t="shared" si="1"/>
        <v>71.5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10" workbookViewId="0">
      <selection activeCell="J10" sqref="J10"/>
    </sheetView>
  </sheetViews>
  <sheetFormatPr defaultColWidth="9" defaultRowHeight="16.5" x14ac:dyDescent="0.35"/>
  <cols>
    <col min="1" max="16384" width="9" style="2"/>
  </cols>
  <sheetData>
    <row r="1" spans="1:10" x14ac:dyDescent="0.35">
      <c r="A1" s="11" t="s">
        <v>65</v>
      </c>
      <c r="B1" s="11" t="s">
        <v>101</v>
      </c>
      <c r="C1" s="11"/>
      <c r="D1" s="11" t="s">
        <v>102</v>
      </c>
      <c r="E1" s="11" t="s">
        <v>103</v>
      </c>
      <c r="F1" s="11"/>
      <c r="G1" s="11" t="s">
        <v>17</v>
      </c>
    </row>
    <row r="2" spans="1:10" x14ac:dyDescent="0.35">
      <c r="A2" s="11"/>
      <c r="B2" s="12" t="s">
        <v>104</v>
      </c>
      <c r="C2" s="12" t="s">
        <v>105</v>
      </c>
      <c r="D2" s="11"/>
      <c r="E2" s="12" t="s">
        <v>104</v>
      </c>
      <c r="F2" s="12" t="s">
        <v>105</v>
      </c>
      <c r="G2" s="11"/>
    </row>
    <row r="3" spans="1:10" x14ac:dyDescent="0.35">
      <c r="A3" s="13" t="s">
        <v>96</v>
      </c>
      <c r="B3" s="12">
        <v>66</v>
      </c>
      <c r="C3" s="12">
        <v>100</v>
      </c>
      <c r="D3" s="14">
        <f>SUM(B3:C3)</f>
        <v>166</v>
      </c>
      <c r="E3" s="12">
        <v>89</v>
      </c>
      <c r="F3" s="12">
        <v>96</v>
      </c>
      <c r="G3" s="14">
        <f>SUM(E3:F3)</f>
        <v>185</v>
      </c>
    </row>
    <row r="4" spans="1:10" x14ac:dyDescent="0.35">
      <c r="A4" s="13" t="s">
        <v>97</v>
      </c>
      <c r="B4" s="12">
        <v>79</v>
      </c>
      <c r="C4" s="12">
        <v>54</v>
      </c>
      <c r="D4" s="14">
        <f t="shared" ref="D4:D14" si="0">SUM(B4:C4)</f>
        <v>133</v>
      </c>
      <c r="E4" s="12">
        <v>56</v>
      </c>
      <c r="F4" s="12">
        <v>78</v>
      </c>
      <c r="G4" s="14">
        <f t="shared" ref="G4:G14" si="1">SUM(E4:F4)</f>
        <v>134</v>
      </c>
    </row>
    <row r="5" spans="1:10" x14ac:dyDescent="0.35">
      <c r="A5" s="13" t="s">
        <v>98</v>
      </c>
      <c r="B5" s="12">
        <v>78</v>
      </c>
      <c r="C5" s="12">
        <v>74</v>
      </c>
      <c r="D5" s="14">
        <f t="shared" si="0"/>
        <v>152</v>
      </c>
      <c r="E5" s="12">
        <v>92</v>
      </c>
      <c r="F5" s="12">
        <v>94</v>
      </c>
      <c r="G5" s="14">
        <f t="shared" si="1"/>
        <v>186</v>
      </c>
    </row>
    <row r="6" spans="1:10" x14ac:dyDescent="0.35">
      <c r="A6" s="13" t="s">
        <v>99</v>
      </c>
      <c r="B6" s="12">
        <v>57</v>
      </c>
      <c r="C6" s="12">
        <v>68</v>
      </c>
      <c r="D6" s="14">
        <f t="shared" si="0"/>
        <v>125</v>
      </c>
      <c r="E6" s="12">
        <v>69</v>
      </c>
      <c r="F6" s="12">
        <v>99</v>
      </c>
      <c r="G6" s="14">
        <f t="shared" si="1"/>
        <v>168</v>
      </c>
    </row>
    <row r="7" spans="1:10" x14ac:dyDescent="0.35">
      <c r="A7" s="13" t="s">
        <v>100</v>
      </c>
      <c r="B7" s="12">
        <v>75</v>
      </c>
      <c r="C7" s="12">
        <v>92</v>
      </c>
      <c r="D7" s="14">
        <f t="shared" si="0"/>
        <v>167</v>
      </c>
      <c r="E7" s="12">
        <v>66</v>
      </c>
      <c r="F7" s="12">
        <v>98</v>
      </c>
      <c r="G7" s="14">
        <f t="shared" si="1"/>
        <v>164</v>
      </c>
    </row>
    <row r="8" spans="1:10" x14ac:dyDescent="0.35">
      <c r="A8" s="13" t="s">
        <v>106</v>
      </c>
      <c r="B8" s="12">
        <v>77</v>
      </c>
      <c r="C8" s="12">
        <v>93</v>
      </c>
      <c r="D8" s="14">
        <f t="shared" si="0"/>
        <v>170</v>
      </c>
      <c r="E8" s="12">
        <v>72</v>
      </c>
      <c r="F8" s="12">
        <v>78</v>
      </c>
      <c r="G8" s="14">
        <f t="shared" si="1"/>
        <v>150</v>
      </c>
    </row>
    <row r="9" spans="1:10" x14ac:dyDescent="0.35">
      <c r="A9" s="13" t="s">
        <v>107</v>
      </c>
      <c r="B9" s="12">
        <v>80</v>
      </c>
      <c r="C9" s="12">
        <v>76</v>
      </c>
      <c r="D9" s="14">
        <f t="shared" si="0"/>
        <v>156</v>
      </c>
      <c r="E9" s="12">
        <v>79</v>
      </c>
      <c r="F9" s="12">
        <v>99</v>
      </c>
      <c r="G9" s="14">
        <f t="shared" si="1"/>
        <v>178</v>
      </c>
      <c r="J9" s="2" t="s">
        <v>119</v>
      </c>
    </row>
    <row r="10" spans="1:10" x14ac:dyDescent="0.35">
      <c r="A10" s="13" t="s">
        <v>108</v>
      </c>
      <c r="B10" s="12">
        <v>70</v>
      </c>
      <c r="C10" s="12">
        <v>60</v>
      </c>
      <c r="D10" s="14">
        <f t="shared" si="0"/>
        <v>130</v>
      </c>
      <c r="E10" s="12">
        <v>51</v>
      </c>
      <c r="F10" s="12">
        <v>52</v>
      </c>
      <c r="G10" s="14">
        <f t="shared" si="1"/>
        <v>103</v>
      </c>
    </row>
    <row r="11" spans="1:10" x14ac:dyDescent="0.35">
      <c r="A11" s="13" t="s">
        <v>109</v>
      </c>
      <c r="B11" s="12">
        <v>53</v>
      </c>
      <c r="C11" s="12">
        <v>82</v>
      </c>
      <c r="D11" s="14">
        <f t="shared" si="0"/>
        <v>135</v>
      </c>
      <c r="E11" s="12">
        <v>77</v>
      </c>
      <c r="F11" s="12">
        <v>71</v>
      </c>
      <c r="G11" s="14">
        <f t="shared" si="1"/>
        <v>148</v>
      </c>
    </row>
    <row r="12" spans="1:10" x14ac:dyDescent="0.35">
      <c r="A12" s="13" t="s">
        <v>110</v>
      </c>
      <c r="B12" s="12">
        <v>56</v>
      </c>
      <c r="C12" s="12">
        <v>71</v>
      </c>
      <c r="D12" s="14">
        <f t="shared" si="0"/>
        <v>127</v>
      </c>
      <c r="E12" s="12">
        <v>81</v>
      </c>
      <c r="F12" s="12">
        <v>64</v>
      </c>
      <c r="G12" s="14">
        <f t="shared" si="1"/>
        <v>145</v>
      </c>
    </row>
    <row r="13" spans="1:10" x14ac:dyDescent="0.35">
      <c r="A13" s="13" t="s">
        <v>111</v>
      </c>
      <c r="B13" s="12">
        <v>63</v>
      </c>
      <c r="C13" s="12">
        <v>77</v>
      </c>
      <c r="D13" s="14">
        <f t="shared" si="0"/>
        <v>140</v>
      </c>
      <c r="E13" s="12">
        <v>95</v>
      </c>
      <c r="F13" s="12">
        <v>71</v>
      </c>
      <c r="G13" s="14">
        <f t="shared" si="1"/>
        <v>166</v>
      </c>
    </row>
    <row r="14" spans="1:10" x14ac:dyDescent="0.35">
      <c r="A14" s="13" t="s">
        <v>112</v>
      </c>
      <c r="B14" s="12">
        <v>74</v>
      </c>
      <c r="C14" s="12">
        <v>89</v>
      </c>
      <c r="D14" s="14">
        <f t="shared" si="0"/>
        <v>163</v>
      </c>
      <c r="E14" s="12">
        <v>61</v>
      </c>
      <c r="F14" s="12">
        <v>64</v>
      </c>
      <c r="G14" s="14">
        <f t="shared" si="1"/>
        <v>125</v>
      </c>
    </row>
    <row r="18" spans="1:7" x14ac:dyDescent="0.35">
      <c r="A18" s="2" t="s">
        <v>113</v>
      </c>
    </row>
    <row r="20" spans="1:7" x14ac:dyDescent="0.35">
      <c r="A20" s="15" t="s">
        <v>65</v>
      </c>
      <c r="B20" s="15" t="s">
        <v>114</v>
      </c>
      <c r="C20" s="15"/>
      <c r="D20" s="15" t="s">
        <v>102</v>
      </c>
      <c r="E20" s="15" t="s">
        <v>103</v>
      </c>
      <c r="F20" s="15"/>
      <c r="G20" s="15" t="s">
        <v>17</v>
      </c>
    </row>
    <row r="21" spans="1:7" x14ac:dyDescent="0.35">
      <c r="A21" s="15"/>
      <c r="B21" s="3" t="s">
        <v>115</v>
      </c>
      <c r="C21" s="3" t="s">
        <v>105</v>
      </c>
      <c r="D21" s="15"/>
      <c r="E21" s="3" t="s">
        <v>104</v>
      </c>
      <c r="F21" s="3" t="s">
        <v>116</v>
      </c>
      <c r="G21" s="15"/>
    </row>
    <row r="22" spans="1:7" x14ac:dyDescent="0.35">
      <c r="A22" s="16" t="s">
        <v>96</v>
      </c>
      <c r="B22" s="3">
        <v>66</v>
      </c>
      <c r="C22" s="3">
        <v>100</v>
      </c>
      <c r="D22" s="17">
        <f>SUM(B22:C22)</f>
        <v>166</v>
      </c>
      <c r="E22" s="3">
        <v>89</v>
      </c>
      <c r="F22" s="3">
        <v>96</v>
      </c>
      <c r="G22" s="17">
        <f>SUM(E22:F22)</f>
        <v>185</v>
      </c>
    </row>
    <row r="23" spans="1:7" x14ac:dyDescent="0.35">
      <c r="A23" s="16" t="s">
        <v>97</v>
      </c>
      <c r="B23" s="3">
        <v>79</v>
      </c>
      <c r="C23" s="3">
        <v>54</v>
      </c>
      <c r="D23" s="17">
        <f t="shared" ref="D23:D33" si="2">SUM(B23:C23)</f>
        <v>133</v>
      </c>
      <c r="E23" s="3">
        <v>56</v>
      </c>
      <c r="F23" s="3">
        <v>78</v>
      </c>
      <c r="G23" s="17">
        <f t="shared" ref="G23:G33" si="3">SUM(E23:F23)</f>
        <v>134</v>
      </c>
    </row>
    <row r="24" spans="1:7" x14ac:dyDescent="0.35">
      <c r="A24" s="16" t="s">
        <v>98</v>
      </c>
      <c r="B24" s="3">
        <v>78</v>
      </c>
      <c r="C24" s="3">
        <v>74</v>
      </c>
      <c r="D24" s="17">
        <f t="shared" si="2"/>
        <v>152</v>
      </c>
      <c r="E24" s="3">
        <v>92</v>
      </c>
      <c r="F24" s="3">
        <v>94</v>
      </c>
      <c r="G24" s="17">
        <f t="shared" si="3"/>
        <v>186</v>
      </c>
    </row>
    <row r="25" spans="1:7" x14ac:dyDescent="0.35">
      <c r="A25" s="16" t="s">
        <v>99</v>
      </c>
      <c r="B25" s="3">
        <v>57</v>
      </c>
      <c r="C25" s="3">
        <v>68</v>
      </c>
      <c r="D25" s="17">
        <f t="shared" si="2"/>
        <v>125</v>
      </c>
      <c r="E25" s="3">
        <v>69</v>
      </c>
      <c r="F25" s="3">
        <v>99</v>
      </c>
      <c r="G25" s="17">
        <f t="shared" si="3"/>
        <v>168</v>
      </c>
    </row>
    <row r="26" spans="1:7" x14ac:dyDescent="0.35">
      <c r="A26" s="16" t="s">
        <v>100</v>
      </c>
      <c r="B26" s="18">
        <v>75</v>
      </c>
      <c r="C26" s="18">
        <v>92</v>
      </c>
      <c r="D26" s="19">
        <f t="shared" si="2"/>
        <v>167</v>
      </c>
      <c r="E26" s="18">
        <v>66</v>
      </c>
      <c r="F26" s="18">
        <v>98</v>
      </c>
      <c r="G26" s="19">
        <f t="shared" si="3"/>
        <v>164</v>
      </c>
    </row>
    <row r="27" spans="1:7" x14ac:dyDescent="0.35">
      <c r="A27" s="16" t="s">
        <v>106</v>
      </c>
      <c r="B27" s="18">
        <v>77</v>
      </c>
      <c r="C27" s="18">
        <v>93</v>
      </c>
      <c r="D27" s="19">
        <f t="shared" si="2"/>
        <v>170</v>
      </c>
      <c r="E27" s="18">
        <v>72</v>
      </c>
      <c r="F27" s="18">
        <v>78</v>
      </c>
      <c r="G27" s="19">
        <f t="shared" si="3"/>
        <v>150</v>
      </c>
    </row>
    <row r="28" spans="1:7" x14ac:dyDescent="0.35">
      <c r="A28" s="16" t="s">
        <v>107</v>
      </c>
      <c r="B28" s="3">
        <v>80</v>
      </c>
      <c r="C28" s="3">
        <v>76</v>
      </c>
      <c r="D28" s="17">
        <f t="shared" si="2"/>
        <v>156</v>
      </c>
      <c r="E28" s="3">
        <v>79</v>
      </c>
      <c r="F28" s="3">
        <v>99</v>
      </c>
      <c r="G28" s="17">
        <f t="shared" si="3"/>
        <v>178</v>
      </c>
    </row>
    <row r="29" spans="1:7" x14ac:dyDescent="0.35">
      <c r="A29" s="16" t="s">
        <v>108</v>
      </c>
      <c r="B29" s="18">
        <v>70</v>
      </c>
      <c r="C29" s="18">
        <v>60</v>
      </c>
      <c r="D29" s="19">
        <f t="shared" si="2"/>
        <v>130</v>
      </c>
      <c r="E29" s="18">
        <v>51</v>
      </c>
      <c r="F29" s="18">
        <v>52</v>
      </c>
      <c r="G29" s="19">
        <f t="shared" si="3"/>
        <v>103</v>
      </c>
    </row>
    <row r="30" spans="1:7" x14ac:dyDescent="0.35">
      <c r="A30" s="16" t="s">
        <v>109</v>
      </c>
      <c r="B30" s="3">
        <v>53</v>
      </c>
      <c r="C30" s="3">
        <v>82</v>
      </c>
      <c r="D30" s="17">
        <f t="shared" si="2"/>
        <v>135</v>
      </c>
      <c r="E30" s="3">
        <v>77</v>
      </c>
      <c r="F30" s="3">
        <v>71</v>
      </c>
      <c r="G30" s="17">
        <f t="shared" si="3"/>
        <v>148</v>
      </c>
    </row>
    <row r="31" spans="1:7" x14ac:dyDescent="0.35">
      <c r="A31" s="16" t="s">
        <v>110</v>
      </c>
      <c r="B31" s="3">
        <v>56</v>
      </c>
      <c r="C31" s="3">
        <v>71</v>
      </c>
      <c r="D31" s="17">
        <f t="shared" si="2"/>
        <v>127</v>
      </c>
      <c r="E31" s="3">
        <v>81</v>
      </c>
      <c r="F31" s="3">
        <v>64</v>
      </c>
      <c r="G31" s="17">
        <f t="shared" si="3"/>
        <v>145</v>
      </c>
    </row>
    <row r="32" spans="1:7" x14ac:dyDescent="0.35">
      <c r="A32" s="16" t="s">
        <v>111</v>
      </c>
      <c r="B32" s="3">
        <v>63</v>
      </c>
      <c r="C32" s="3">
        <v>77</v>
      </c>
      <c r="D32" s="17">
        <f t="shared" si="2"/>
        <v>140</v>
      </c>
      <c r="E32" s="3">
        <v>95</v>
      </c>
      <c r="F32" s="3">
        <v>71</v>
      </c>
      <c r="G32" s="17">
        <f t="shared" si="3"/>
        <v>166</v>
      </c>
    </row>
    <row r="33" spans="1:7" x14ac:dyDescent="0.35">
      <c r="A33" s="16" t="s">
        <v>112</v>
      </c>
      <c r="B33" s="18">
        <v>74</v>
      </c>
      <c r="C33" s="18">
        <v>89</v>
      </c>
      <c r="D33" s="19">
        <f t="shared" si="2"/>
        <v>163</v>
      </c>
      <c r="E33" s="18">
        <v>61</v>
      </c>
      <c r="F33" s="18">
        <v>64</v>
      </c>
      <c r="G33" s="19">
        <f t="shared" si="3"/>
        <v>125</v>
      </c>
    </row>
  </sheetData>
  <mergeCells count="10">
    <mergeCell ref="A1:A2"/>
    <mergeCell ref="B1:C1"/>
    <mergeCell ref="D1:D2"/>
    <mergeCell ref="E1:F1"/>
    <mergeCell ref="G1:G2"/>
    <mergeCell ref="A20:A21"/>
    <mergeCell ref="B20:C20"/>
    <mergeCell ref="D20:D21"/>
    <mergeCell ref="E20:F20"/>
    <mergeCell ref="G20:G2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workbookViewId="0"/>
  </sheetViews>
  <sheetFormatPr defaultColWidth="9" defaultRowHeight="16.5" x14ac:dyDescent="0.35"/>
  <cols>
    <col min="1" max="1" width="9" style="2"/>
    <col min="2" max="5" width="10.25" style="2" customWidth="1"/>
    <col min="6" max="16384" width="9" style="2"/>
  </cols>
  <sheetData>
    <row r="1" spans="1:14" x14ac:dyDescent="0.35">
      <c r="A1" s="1" t="s">
        <v>120</v>
      </c>
    </row>
    <row r="2" spans="1:14" x14ac:dyDescent="0.35">
      <c r="J2"/>
      <c r="K2"/>
      <c r="L2"/>
      <c r="M2"/>
      <c r="N2"/>
    </row>
    <row r="3" spans="1:14" x14ac:dyDescent="0.35">
      <c r="J3"/>
      <c r="K3"/>
      <c r="L3"/>
      <c r="M3"/>
      <c r="N3"/>
    </row>
    <row r="4" spans="1:14" x14ac:dyDescent="0.35">
      <c r="A4" s="1" t="s">
        <v>121</v>
      </c>
    </row>
    <row r="5" spans="1:14" x14ac:dyDescent="0.35">
      <c r="A5" s="2" t="s">
        <v>122</v>
      </c>
    </row>
    <row r="7" spans="1:14" x14ac:dyDescent="0.35">
      <c r="A7" s="3" t="s">
        <v>65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127</v>
      </c>
    </row>
    <row r="8" spans="1:14" x14ac:dyDescent="0.35">
      <c r="A8" s="3" t="s">
        <v>128</v>
      </c>
      <c r="B8" s="3">
        <v>32500</v>
      </c>
      <c r="C8" s="3">
        <v>45000</v>
      </c>
      <c r="D8" s="3">
        <v>57500</v>
      </c>
      <c r="E8" s="3">
        <v>56250</v>
      </c>
      <c r="F8" s="3">
        <f>SUM(B8:E8)</f>
        <v>191250</v>
      </c>
    </row>
    <row r="9" spans="1:14" x14ac:dyDescent="0.35">
      <c r="A9" s="3" t="s">
        <v>129</v>
      </c>
      <c r="B9" s="3">
        <v>26250</v>
      </c>
      <c r="C9" s="3">
        <v>25000</v>
      </c>
      <c r="D9" s="3">
        <v>42500</v>
      </c>
      <c r="E9" s="3">
        <v>28750</v>
      </c>
      <c r="F9" s="3">
        <f t="shared" ref="F9:F18" si="0">SUM(B9:E9)</f>
        <v>122500</v>
      </c>
    </row>
    <row r="10" spans="1:14" x14ac:dyDescent="0.35">
      <c r="A10" s="3" t="s">
        <v>130</v>
      </c>
      <c r="B10" s="3">
        <v>51250</v>
      </c>
      <c r="C10" s="3">
        <v>62500</v>
      </c>
      <c r="D10" s="3">
        <v>43750</v>
      </c>
      <c r="E10" s="3">
        <v>58750</v>
      </c>
      <c r="F10" s="3">
        <f t="shared" si="0"/>
        <v>216250</v>
      </c>
      <c r="I10" s="2" t="s">
        <v>149</v>
      </c>
    </row>
    <row r="11" spans="1:14" x14ac:dyDescent="0.35">
      <c r="A11" s="3" t="s">
        <v>131</v>
      </c>
      <c r="B11" s="3">
        <v>31250</v>
      </c>
      <c r="C11" s="3">
        <v>25000</v>
      </c>
      <c r="D11" s="3">
        <v>57500</v>
      </c>
      <c r="E11" s="3">
        <v>28750</v>
      </c>
      <c r="F11" s="3">
        <f t="shared" si="0"/>
        <v>142500</v>
      </c>
    </row>
    <row r="12" spans="1:14" x14ac:dyDescent="0.35">
      <c r="A12" s="3" t="s">
        <v>132</v>
      </c>
      <c r="B12" s="3">
        <v>56250</v>
      </c>
      <c r="C12" s="3">
        <v>47500</v>
      </c>
      <c r="D12" s="3">
        <v>51250</v>
      </c>
      <c r="E12" s="3">
        <v>46250</v>
      </c>
      <c r="F12" s="3">
        <f t="shared" si="0"/>
        <v>201250</v>
      </c>
    </row>
    <row r="13" spans="1:14" x14ac:dyDescent="0.35">
      <c r="A13" s="3" t="s">
        <v>133</v>
      </c>
      <c r="B13" s="3">
        <v>31250</v>
      </c>
      <c r="C13" s="3">
        <v>33750</v>
      </c>
      <c r="D13" s="3">
        <v>60000</v>
      </c>
      <c r="E13" s="3">
        <v>50000</v>
      </c>
      <c r="F13" s="3">
        <f t="shared" si="0"/>
        <v>175000</v>
      </c>
    </row>
    <row r="14" spans="1:14" x14ac:dyDescent="0.35">
      <c r="A14" s="3" t="s">
        <v>134</v>
      </c>
      <c r="B14" s="3">
        <v>43750</v>
      </c>
      <c r="C14" s="3">
        <v>53750</v>
      </c>
      <c r="D14" s="3">
        <v>32500</v>
      </c>
      <c r="E14" s="3">
        <v>50000</v>
      </c>
      <c r="F14" s="3">
        <f t="shared" si="0"/>
        <v>180000</v>
      </c>
    </row>
    <row r="15" spans="1:14" x14ac:dyDescent="0.35">
      <c r="A15" s="3" t="s">
        <v>135</v>
      </c>
      <c r="B15" s="3">
        <v>35000</v>
      </c>
      <c r="C15" s="3">
        <v>42500</v>
      </c>
      <c r="D15" s="3">
        <v>46250</v>
      </c>
      <c r="E15" s="3">
        <v>53750</v>
      </c>
      <c r="F15" s="3">
        <f t="shared" si="0"/>
        <v>177500</v>
      </c>
    </row>
    <row r="16" spans="1:14" x14ac:dyDescent="0.35">
      <c r="A16" s="3" t="s">
        <v>136</v>
      </c>
      <c r="B16" s="3">
        <v>87500</v>
      </c>
      <c r="C16" s="3">
        <v>55000</v>
      </c>
      <c r="D16" s="3">
        <v>30000</v>
      </c>
      <c r="E16" s="3">
        <v>28750</v>
      </c>
      <c r="F16" s="3">
        <f t="shared" si="0"/>
        <v>201250</v>
      </c>
    </row>
    <row r="17" spans="1:6" x14ac:dyDescent="0.35">
      <c r="A17" s="3" t="s">
        <v>137</v>
      </c>
      <c r="B17" s="3">
        <v>37500</v>
      </c>
      <c r="C17" s="3">
        <v>61250</v>
      </c>
      <c r="D17" s="3">
        <v>61250</v>
      </c>
      <c r="E17" s="3">
        <v>25000</v>
      </c>
      <c r="F17" s="3">
        <f t="shared" si="0"/>
        <v>185000</v>
      </c>
    </row>
    <row r="18" spans="1:6" x14ac:dyDescent="0.35">
      <c r="A18" s="3" t="s">
        <v>138</v>
      </c>
      <c r="B18" s="3">
        <v>43750</v>
      </c>
      <c r="C18" s="3">
        <v>48750</v>
      </c>
      <c r="D18" s="3">
        <v>62500</v>
      </c>
      <c r="E18" s="3">
        <v>55000</v>
      </c>
      <c r="F18" s="3">
        <f t="shared" si="0"/>
        <v>210000</v>
      </c>
    </row>
    <row r="21" spans="1:6" x14ac:dyDescent="0.35">
      <c r="A21" s="3" t="s">
        <v>91</v>
      </c>
      <c r="B21" s="3" t="s">
        <v>139</v>
      </c>
      <c r="C21" s="3" t="s">
        <v>124</v>
      </c>
      <c r="D21" s="3" t="s">
        <v>125</v>
      </c>
      <c r="E21" s="3" t="s">
        <v>126</v>
      </c>
      <c r="F21" s="3" t="s">
        <v>140</v>
      </c>
    </row>
    <row r="22" spans="1:6" x14ac:dyDescent="0.35">
      <c r="A22" s="3" t="s">
        <v>130</v>
      </c>
      <c r="B22" s="3">
        <v>51250</v>
      </c>
      <c r="C22" s="3">
        <v>62500</v>
      </c>
      <c r="D22" s="3">
        <v>43750</v>
      </c>
      <c r="E22" s="3">
        <v>58750</v>
      </c>
      <c r="F22" s="3">
        <v>216250</v>
      </c>
    </row>
    <row r="23" spans="1:6" x14ac:dyDescent="0.35">
      <c r="A23" s="3" t="s">
        <v>132</v>
      </c>
      <c r="B23" s="3">
        <v>56250</v>
      </c>
      <c r="C23" s="3">
        <v>47500</v>
      </c>
      <c r="D23" s="3">
        <v>51250</v>
      </c>
      <c r="E23" s="3">
        <v>46250</v>
      </c>
      <c r="F23" s="3">
        <v>201250</v>
      </c>
    </row>
    <row r="24" spans="1:6" x14ac:dyDescent="0.35">
      <c r="A24" s="3" t="s">
        <v>136</v>
      </c>
      <c r="B24" s="3">
        <v>87500</v>
      </c>
      <c r="C24" s="3">
        <v>55000</v>
      </c>
      <c r="D24" s="3">
        <v>30000</v>
      </c>
      <c r="E24" s="3">
        <v>28750</v>
      </c>
      <c r="F24" s="3">
        <v>201250</v>
      </c>
    </row>
    <row r="25" spans="1:6" x14ac:dyDescent="0.35">
      <c r="A25" s="3" t="s">
        <v>138</v>
      </c>
      <c r="B25" s="3">
        <v>43750</v>
      </c>
      <c r="C25" s="3">
        <v>48750</v>
      </c>
      <c r="D25" s="3">
        <v>62500</v>
      </c>
      <c r="E25" s="3">
        <v>55000</v>
      </c>
      <c r="F25" s="3">
        <v>210000</v>
      </c>
    </row>
    <row r="29" spans="1:6" x14ac:dyDescent="0.35">
      <c r="A29" s="1" t="s">
        <v>141</v>
      </c>
    </row>
    <row r="30" spans="1:6" x14ac:dyDescent="0.35">
      <c r="A30" s="3" t="s">
        <v>142</v>
      </c>
      <c r="B30" s="3" t="s">
        <v>65</v>
      </c>
      <c r="D30" s="3" t="s">
        <v>142</v>
      </c>
      <c r="E30" s="3" t="s">
        <v>143</v>
      </c>
    </row>
    <row r="31" spans="1:6" x14ac:dyDescent="0.35">
      <c r="A31" s="21" t="s">
        <v>144</v>
      </c>
      <c r="B31" s="3" t="s">
        <v>128</v>
      </c>
      <c r="D31" s="3" t="s">
        <v>145</v>
      </c>
      <c r="E31" s="3" t="s">
        <v>128</v>
      </c>
    </row>
    <row r="32" spans="1:6" x14ac:dyDescent="0.35">
      <c r="A32" s="22" t="str">
        <f t="shared" ref="A32:A33" si="1">A31</f>
        <v>销售部</v>
      </c>
      <c r="B32" s="3" t="s">
        <v>129</v>
      </c>
      <c r="D32" s="3" t="str">
        <f t="shared" ref="D32:D33" si="2">D31</f>
        <v>销售部</v>
      </c>
      <c r="E32" s="3" t="s">
        <v>129</v>
      </c>
    </row>
    <row r="33" spans="1:5" x14ac:dyDescent="0.35">
      <c r="A33" s="23" t="str">
        <f t="shared" si="1"/>
        <v>销售部</v>
      </c>
      <c r="B33" s="3" t="s">
        <v>130</v>
      </c>
      <c r="D33" s="3" t="str">
        <f t="shared" si="2"/>
        <v>销售部</v>
      </c>
      <c r="E33" s="3" t="s">
        <v>130</v>
      </c>
    </row>
    <row r="34" spans="1:5" x14ac:dyDescent="0.35">
      <c r="A34" s="21" t="s">
        <v>146</v>
      </c>
      <c r="B34" s="3" t="s">
        <v>131</v>
      </c>
      <c r="D34" s="3" t="s">
        <v>146</v>
      </c>
      <c r="E34" s="3" t="s">
        <v>131</v>
      </c>
    </row>
    <row r="35" spans="1:5" x14ac:dyDescent="0.35">
      <c r="A35" s="23" t="str">
        <f>A34</f>
        <v>管理部</v>
      </c>
      <c r="B35" s="3" t="s">
        <v>132</v>
      </c>
      <c r="D35" s="3" t="str">
        <f>D34</f>
        <v>管理部</v>
      </c>
      <c r="E35" s="3" t="s">
        <v>132</v>
      </c>
    </row>
    <row r="36" spans="1:5" x14ac:dyDescent="0.35">
      <c r="A36" s="24" t="s">
        <v>147</v>
      </c>
      <c r="B36" s="3" t="s">
        <v>133</v>
      </c>
      <c r="D36" s="3" t="s">
        <v>147</v>
      </c>
      <c r="E36" s="3" t="s">
        <v>133</v>
      </c>
    </row>
    <row r="37" spans="1:5" x14ac:dyDescent="0.35">
      <c r="A37" s="25" t="str">
        <f>A36</f>
        <v>后勤部</v>
      </c>
      <c r="B37" s="3" t="s">
        <v>134</v>
      </c>
      <c r="D37" s="20" t="str">
        <f>D36</f>
        <v>后勤部</v>
      </c>
      <c r="E37" s="3" t="s">
        <v>134</v>
      </c>
    </row>
    <row r="38" spans="1:5" x14ac:dyDescent="0.35">
      <c r="A38" s="21" t="s">
        <v>148</v>
      </c>
      <c r="B38" s="3" t="s">
        <v>135</v>
      </c>
      <c r="D38" s="3" t="s">
        <v>148</v>
      </c>
      <c r="E38" s="3" t="s">
        <v>135</v>
      </c>
    </row>
    <row r="39" spans="1:5" x14ac:dyDescent="0.35">
      <c r="A39" s="22" t="str">
        <f t="shared" ref="A39:A41" si="3">A38</f>
        <v>信息部</v>
      </c>
      <c r="B39" s="3" t="s">
        <v>136</v>
      </c>
      <c r="D39" s="3" t="str">
        <f t="shared" ref="D39:D41" si="4">D38</f>
        <v>信息部</v>
      </c>
      <c r="E39" s="3" t="s">
        <v>136</v>
      </c>
    </row>
    <row r="40" spans="1:5" x14ac:dyDescent="0.35">
      <c r="A40" s="22" t="str">
        <f t="shared" si="3"/>
        <v>信息部</v>
      </c>
      <c r="B40" s="3" t="s">
        <v>137</v>
      </c>
      <c r="D40" s="3" t="str">
        <f t="shared" si="4"/>
        <v>信息部</v>
      </c>
      <c r="E40" s="3" t="s">
        <v>137</v>
      </c>
    </row>
    <row r="41" spans="1:5" x14ac:dyDescent="0.35">
      <c r="A41" s="23" t="str">
        <f t="shared" si="3"/>
        <v>信息部</v>
      </c>
      <c r="B41" s="3" t="s">
        <v>138</v>
      </c>
      <c r="D41" s="3" t="str">
        <f t="shared" si="4"/>
        <v>信息部</v>
      </c>
      <c r="E41" s="3" t="s">
        <v>138</v>
      </c>
    </row>
    <row r="45" spans="1:5" x14ac:dyDescent="0.35">
      <c r="E45" s="2" t="s">
        <v>150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J45"/>
  <sheetViews>
    <sheetView workbookViewId="0">
      <selection activeCell="M30" sqref="M30"/>
    </sheetView>
  </sheetViews>
  <sheetFormatPr defaultRowHeight="13.5" x14ac:dyDescent="0.15"/>
  <sheetData>
    <row r="5" spans="4:8" x14ac:dyDescent="0.15">
      <c r="D5">
        <v>33</v>
      </c>
      <c r="E5">
        <v>33</v>
      </c>
      <c r="F5">
        <v>33</v>
      </c>
      <c r="G5">
        <v>33</v>
      </c>
      <c r="H5">
        <v>33</v>
      </c>
    </row>
    <row r="6" spans="4:8" x14ac:dyDescent="0.15">
      <c r="D6">
        <v>33</v>
      </c>
      <c r="E6">
        <v>33</v>
      </c>
      <c r="F6">
        <v>33</v>
      </c>
      <c r="G6">
        <v>33</v>
      </c>
      <c r="H6">
        <v>33</v>
      </c>
    </row>
    <row r="7" spans="4:8" x14ac:dyDescent="0.15">
      <c r="D7">
        <v>33</v>
      </c>
      <c r="E7">
        <v>33</v>
      </c>
      <c r="F7">
        <v>33</v>
      </c>
      <c r="G7">
        <v>33</v>
      </c>
      <c r="H7">
        <v>33</v>
      </c>
    </row>
    <row r="8" spans="4:8" x14ac:dyDescent="0.15">
      <c r="D8">
        <v>33</v>
      </c>
      <c r="E8">
        <v>33</v>
      </c>
      <c r="F8">
        <v>33</v>
      </c>
      <c r="G8">
        <v>33</v>
      </c>
      <c r="H8">
        <v>33</v>
      </c>
    </row>
    <row r="9" spans="4:8" x14ac:dyDescent="0.15">
      <c r="D9">
        <v>33</v>
      </c>
      <c r="E9">
        <v>33</v>
      </c>
      <c r="F9">
        <v>33</v>
      </c>
      <c r="G9">
        <v>33</v>
      </c>
      <c r="H9">
        <v>33</v>
      </c>
    </row>
    <row r="10" spans="4:8" x14ac:dyDescent="0.15">
      <c r="D10">
        <v>33</v>
      </c>
      <c r="E10">
        <v>33</v>
      </c>
      <c r="F10">
        <v>33</v>
      </c>
      <c r="G10">
        <v>33</v>
      </c>
      <c r="H10">
        <v>33</v>
      </c>
    </row>
    <row r="11" spans="4:8" x14ac:dyDescent="0.15">
      <c r="D11">
        <v>33</v>
      </c>
      <c r="E11">
        <v>33</v>
      </c>
      <c r="F11">
        <v>33</v>
      </c>
      <c r="G11">
        <v>33</v>
      </c>
      <c r="H11">
        <v>33</v>
      </c>
    </row>
    <row r="12" spans="4:8" x14ac:dyDescent="0.15">
      <c r="D12">
        <v>33</v>
      </c>
      <c r="E12">
        <v>33</v>
      </c>
      <c r="F12">
        <v>33</v>
      </c>
      <c r="G12">
        <v>33</v>
      </c>
      <c r="H12">
        <v>33</v>
      </c>
    </row>
    <row r="13" spans="4:8" x14ac:dyDescent="0.15">
      <c r="D13">
        <v>33</v>
      </c>
      <c r="E13">
        <v>33</v>
      </c>
      <c r="F13">
        <v>33</v>
      </c>
      <c r="G13">
        <v>33</v>
      </c>
      <c r="H13">
        <v>33</v>
      </c>
    </row>
    <row r="14" spans="4:8" x14ac:dyDescent="0.15">
      <c r="D14">
        <v>33</v>
      </c>
      <c r="E14">
        <v>33</v>
      </c>
      <c r="F14">
        <v>33</v>
      </c>
      <c r="G14">
        <v>33</v>
      </c>
      <c r="H14">
        <v>33</v>
      </c>
    </row>
    <row r="19" spans="5:10" x14ac:dyDescent="0.15">
      <c r="E19">
        <v>33</v>
      </c>
      <c r="F19">
        <v>33</v>
      </c>
      <c r="G19">
        <v>33</v>
      </c>
      <c r="H19">
        <v>33</v>
      </c>
      <c r="I19">
        <v>33</v>
      </c>
    </row>
    <row r="20" spans="5:10" x14ac:dyDescent="0.15">
      <c r="E20">
        <v>33</v>
      </c>
      <c r="F20">
        <v>33</v>
      </c>
      <c r="G20">
        <v>33</v>
      </c>
      <c r="H20">
        <v>33</v>
      </c>
      <c r="I20">
        <v>33</v>
      </c>
    </row>
    <row r="21" spans="5:10" x14ac:dyDescent="0.15">
      <c r="E21">
        <v>33</v>
      </c>
      <c r="F21">
        <v>33</v>
      </c>
      <c r="G21">
        <v>33</v>
      </c>
      <c r="H21">
        <v>33</v>
      </c>
      <c r="I21">
        <v>33</v>
      </c>
    </row>
    <row r="22" spans="5:10" x14ac:dyDescent="0.15">
      <c r="E22">
        <v>33</v>
      </c>
      <c r="F22">
        <v>33</v>
      </c>
      <c r="G22">
        <v>33</v>
      </c>
      <c r="H22">
        <v>33</v>
      </c>
      <c r="I22">
        <v>33</v>
      </c>
    </row>
    <row r="23" spans="5:10" x14ac:dyDescent="0.15">
      <c r="E23">
        <v>33</v>
      </c>
      <c r="F23">
        <v>33</v>
      </c>
      <c r="G23">
        <v>33</v>
      </c>
      <c r="H23">
        <v>33</v>
      </c>
      <c r="I23">
        <v>33</v>
      </c>
    </row>
    <row r="24" spans="5:10" x14ac:dyDescent="0.15">
      <c r="E24">
        <v>33</v>
      </c>
      <c r="F24">
        <v>33</v>
      </c>
    </row>
    <row r="25" spans="5:10" x14ac:dyDescent="0.15">
      <c r="E25">
        <v>33</v>
      </c>
      <c r="F25">
        <v>33</v>
      </c>
    </row>
    <row r="26" spans="5:10" x14ac:dyDescent="0.15">
      <c r="E26">
        <v>33</v>
      </c>
      <c r="F26">
        <v>33</v>
      </c>
    </row>
    <row r="27" spans="5:10" x14ac:dyDescent="0.15">
      <c r="E27">
        <v>33</v>
      </c>
      <c r="F27">
        <v>33</v>
      </c>
    </row>
    <row r="28" spans="5:10" x14ac:dyDescent="0.15">
      <c r="E28">
        <v>33</v>
      </c>
      <c r="F28">
        <v>33</v>
      </c>
    </row>
    <row r="32" spans="5:10" ht="16.5" x14ac:dyDescent="0.15">
      <c r="E32" s="3" t="s">
        <v>130</v>
      </c>
      <c r="F32" s="3">
        <v>51250</v>
      </c>
      <c r="G32" s="3">
        <v>62500</v>
      </c>
      <c r="H32" s="3">
        <v>43750</v>
      </c>
      <c r="I32" s="3">
        <v>58750</v>
      </c>
      <c r="J32" s="3">
        <v>216250</v>
      </c>
    </row>
    <row r="33" spans="5:10" ht="16.5" x14ac:dyDescent="0.15">
      <c r="E33" s="3" t="s">
        <v>132</v>
      </c>
      <c r="F33" s="3">
        <v>56250</v>
      </c>
      <c r="G33" s="3">
        <v>47500</v>
      </c>
      <c r="H33" s="3">
        <v>51250</v>
      </c>
      <c r="I33" s="3">
        <v>46250</v>
      </c>
      <c r="J33" s="3">
        <v>201250</v>
      </c>
    </row>
    <row r="34" spans="5:10" ht="16.5" x14ac:dyDescent="0.15">
      <c r="E34" s="3" t="s">
        <v>136</v>
      </c>
      <c r="F34" s="3">
        <v>87500</v>
      </c>
      <c r="G34" s="3">
        <v>55000</v>
      </c>
      <c r="H34" s="3">
        <v>30000</v>
      </c>
      <c r="I34" s="3">
        <v>28750</v>
      </c>
      <c r="J34" s="3">
        <v>201250</v>
      </c>
    </row>
    <row r="35" spans="5:10" ht="16.5" x14ac:dyDescent="0.15">
      <c r="E35" s="3" t="s">
        <v>138</v>
      </c>
      <c r="F35" s="3">
        <v>43750</v>
      </c>
      <c r="G35" s="3">
        <v>48750</v>
      </c>
      <c r="H35" s="3">
        <v>62500</v>
      </c>
      <c r="I35" s="3">
        <v>55000</v>
      </c>
      <c r="J35" s="3">
        <v>210000</v>
      </c>
    </row>
    <row r="37" spans="5:10" ht="16.5" x14ac:dyDescent="0.15">
      <c r="E37" s="3" t="s">
        <v>130</v>
      </c>
      <c r="F37" s="3">
        <v>51250</v>
      </c>
      <c r="G37" s="3">
        <v>62500</v>
      </c>
      <c r="H37" s="3">
        <v>43750</v>
      </c>
      <c r="I37" s="3">
        <v>58750</v>
      </c>
      <c r="J37" s="3">
        <f t="shared" ref="J37:J45" si="0">SUM(F37:I37)</f>
        <v>216250</v>
      </c>
    </row>
    <row r="38" spans="5:10" ht="16.5" x14ac:dyDescent="0.15">
      <c r="E38" s="3" t="s">
        <v>131</v>
      </c>
      <c r="F38" s="3">
        <v>31250</v>
      </c>
      <c r="G38" s="3">
        <v>25000</v>
      </c>
      <c r="H38" s="3">
        <v>57500</v>
      </c>
      <c r="I38" s="3">
        <v>28750</v>
      </c>
      <c r="J38" s="3">
        <f t="shared" si="0"/>
        <v>142500</v>
      </c>
    </row>
    <row r="39" spans="5:10" ht="16.5" x14ac:dyDescent="0.15">
      <c r="E39" s="3" t="s">
        <v>132</v>
      </c>
      <c r="F39" s="3">
        <v>56250</v>
      </c>
      <c r="G39" s="3">
        <v>47500</v>
      </c>
      <c r="H39" s="3">
        <v>51250</v>
      </c>
      <c r="I39" s="3">
        <v>46250</v>
      </c>
      <c r="J39" s="3">
        <f t="shared" si="0"/>
        <v>201250</v>
      </c>
    </row>
    <row r="40" spans="5:10" ht="16.5" x14ac:dyDescent="0.15">
      <c r="E40" s="3" t="s">
        <v>133</v>
      </c>
      <c r="F40" s="3">
        <v>31250</v>
      </c>
      <c r="G40" s="3">
        <v>33750</v>
      </c>
      <c r="H40" s="3">
        <v>60000</v>
      </c>
      <c r="I40" s="3">
        <v>50000</v>
      </c>
      <c r="J40" s="3">
        <f t="shared" si="0"/>
        <v>175000</v>
      </c>
    </row>
    <row r="41" spans="5:10" ht="16.5" x14ac:dyDescent="0.15">
      <c r="E41" s="3" t="s">
        <v>134</v>
      </c>
      <c r="F41" s="3">
        <v>43750</v>
      </c>
      <c r="G41" s="3">
        <v>53750</v>
      </c>
      <c r="H41" s="3">
        <v>32500</v>
      </c>
      <c r="I41" s="3">
        <v>50000</v>
      </c>
      <c r="J41" s="3">
        <f t="shared" si="0"/>
        <v>180000</v>
      </c>
    </row>
    <row r="42" spans="5:10" ht="16.5" x14ac:dyDescent="0.15">
      <c r="E42" s="3" t="s">
        <v>135</v>
      </c>
      <c r="F42" s="3">
        <v>35000</v>
      </c>
      <c r="G42" s="3">
        <v>42500</v>
      </c>
      <c r="H42" s="3">
        <v>46250</v>
      </c>
      <c r="I42" s="3">
        <v>53750</v>
      </c>
      <c r="J42" s="3">
        <f t="shared" si="0"/>
        <v>177500</v>
      </c>
    </row>
    <row r="43" spans="5:10" ht="16.5" x14ac:dyDescent="0.15">
      <c r="E43" s="3" t="s">
        <v>136</v>
      </c>
      <c r="F43" s="3">
        <v>87500</v>
      </c>
      <c r="G43" s="3">
        <v>55000</v>
      </c>
      <c r="H43" s="3">
        <v>30000</v>
      </c>
      <c r="I43" s="3">
        <v>28750</v>
      </c>
      <c r="J43" s="3">
        <f t="shared" si="0"/>
        <v>201250</v>
      </c>
    </row>
    <row r="44" spans="5:10" ht="16.5" x14ac:dyDescent="0.15">
      <c r="E44" s="3" t="s">
        <v>137</v>
      </c>
      <c r="F44" s="3">
        <v>37500</v>
      </c>
      <c r="G44" s="3">
        <v>61250</v>
      </c>
      <c r="H44" s="3">
        <v>61250</v>
      </c>
      <c r="I44" s="3">
        <v>25000</v>
      </c>
      <c r="J44" s="3">
        <f t="shared" si="0"/>
        <v>185000</v>
      </c>
    </row>
    <row r="45" spans="5:10" ht="16.5" x14ac:dyDescent="0.15">
      <c r="E45" s="3" t="s">
        <v>138</v>
      </c>
      <c r="F45" s="3">
        <v>43750</v>
      </c>
      <c r="G45" s="3">
        <v>48750</v>
      </c>
      <c r="H45" s="3">
        <v>62500</v>
      </c>
      <c r="I45" s="3">
        <v>55000</v>
      </c>
      <c r="J45" s="3">
        <f t="shared" si="0"/>
        <v>210000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2017-04-17T13:31:50Z</dcterms:modified>
</cp:coreProperties>
</file>